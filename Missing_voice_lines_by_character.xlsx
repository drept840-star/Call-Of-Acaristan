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23.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8.xml" ContentType="application/vnd.openxmlformats-officedocument.spreadsheetml.worksheet+xml"/>
  <Override PartName="/xl/worksheets/sheet24.xml" ContentType="application/vnd.openxmlformats-officedocument.spreadsheetml.worksheet+xml"/>
  <Override PartName="/xl/worksheets/sheet15.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tables/table8.xml" ContentType="application/vnd.openxmlformats-officedocument.spreadsheetml.table+xml"/>
  <Override PartName="/xl/tables/table13.xml" ContentType="application/vnd.openxmlformats-officedocument.spreadsheetml.table+xml"/>
  <Override PartName="/xl/tables/table6.xml" ContentType="application/vnd.openxmlformats-officedocument.spreadsheetml.table+xml"/>
  <Override PartName="/xl/tables/table12.xml" ContentType="application/vnd.openxmlformats-officedocument.spreadsheetml.table+xml"/>
  <Override PartName="/xl/tables/table5.xml" ContentType="application/vnd.openxmlformats-officedocument.spreadsheetml.table+xml"/>
  <Override PartName="/xl/tables/table4.xml" ContentType="application/vnd.openxmlformats-officedocument.spreadsheetml.table+xml"/>
  <Override PartName="/xl/tables/table10.xml" ContentType="application/vnd.openxmlformats-officedocument.spreadsheetml.table+xml"/>
  <Override PartName="/xl/tables/table14.xml" ContentType="application/vnd.openxmlformats-officedocument.spreadsheetml.table+xml"/>
  <Override PartName="/xl/tables/table22.xml" ContentType="application/vnd.openxmlformats-officedocument.spreadsheetml.table+xml"/>
  <Override PartName="/xl/tables/table9.xml" ContentType="application/vnd.openxmlformats-officedocument.spreadsheetml.table+xml"/>
  <Override PartName="/xl/tables/table21.xml" ContentType="application/vnd.openxmlformats-officedocument.spreadsheetml.table+xml"/>
  <Override PartName="/xl/tables/table19.xml" ContentType="application/vnd.openxmlformats-officedocument.spreadsheetml.table+xml"/>
  <Override PartName="/xl/tables/table7.xml" ContentType="application/vnd.openxmlformats-officedocument.spreadsheetml.table+xml"/>
  <Override PartName="/xl/tables/table20.xml" ContentType="application/vnd.openxmlformats-officedocument.spreadsheetml.table+xml"/>
  <Override PartName="/xl/tables/table3.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8.xml" ContentType="application/vnd.openxmlformats-officedocument.spreadsheetml.table+xml"/>
  <Override PartName="/xl/tables/table11.xml" ContentType="application/vnd.openxmlformats-officedocument.spreadsheetml.table+xml"/>
  <Override PartName="/xl/tables/table17.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Overview" sheetId="1" state="visible" r:id="rId3"/>
    <sheet name="Missing lines" sheetId="2" state="visible" r:id="rId4"/>
    <sheet name="Text-only review" sheetId="3" state="visible" r:id="rId5"/>
    <sheet name="Balaceanu" sheetId="4" state="visible" r:id="rId6"/>
    <sheet name="Biribel" sheetId="5" state="visible" r:id="rId7"/>
    <sheet name="Darius" sheetId="6" state="visible" r:id="rId8"/>
    <sheet name="Gabi" sheetId="7" state="visible" r:id="rId9"/>
    <sheet name="Hungry Kid" sheetId="8" state="visible" r:id="rId10"/>
    <sheet name="IPA Dispatch" sheetId="9" state="visible" r:id="rId11"/>
    <sheet name="Intercept Operator" sheetId="10" state="visible" r:id="rId12"/>
    <sheet name="Loyalist Comms" sheetId="11" state="visible" r:id="rId13"/>
    <sheet name="Maru" sheetId="12" state="visible" r:id="rId14"/>
    <sheet name="Old Fisherman" sheetId="13" state="visible" r:id="rId15"/>
    <sheet name="Old Woman" sheetId="14" state="visible" r:id="rId16"/>
    <sheet name="PA System" sheetId="15" state="visible" r:id="rId17"/>
    <sheet name="President Retardovici" sheetId="16" state="visible" r:id="rId18"/>
    <sheet name="Presidential PA" sheetId="17" state="visible" r:id="rId19"/>
    <sheet name="Seby" sheetId="18" state="visible" r:id="rId20"/>
    <sheet name="System" sheetId="19" state="visible" r:id="rId21"/>
    <sheet name="Vasile" sheetId="20" state="visible" r:id="rId22"/>
    <sheet name="Volkov" sheetId="21" state="visible" r:id="rId23"/>
    <sheet name="Registry audit" sheetId="22" state="visible" r:id="rId24"/>
    <sheet name="Duplicates &amp; unused" sheetId="23" state="visible" r:id="rId25"/>
    <sheet name="Sources &amp; Read me" sheetId="24" state="visible" r:id="rId26"/>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User</author>
  </authors>
  <commentList>
    <comment ref="B4" authorId="0">
      <text>
        <r>
          <rPr>
            <sz val="10"/>
            <rFont val="Arial"/>
            <family val="2"/>
          </rPr>
          <t xml:space="preserve">Distinct tasks, not raw unmatched manifest IDs. VO_014 and VO_162 are duplicates.</t>
        </r>
      </text>
    </comment>
  </commentList>
</comments>
</file>

<file path=xl/sharedStrings.xml><?xml version="1.0" encoding="utf-8"?>
<sst xmlns="http://schemas.openxmlformats.org/spreadsheetml/2006/main" count="3179" uniqueCount="997">
  <si>
    <t xml:space="preserve">MISSING VOICE LINES · MISSIONS 1–4</t>
  </si>
  <si>
    <t xml:space="preserve">Source: First try.zip | Character tabs follow mission / phase order.</t>
  </si>
  <si>
    <t xml:space="preserve">Recording checklist</t>
  </si>
  <si>
    <t xml:space="preserve">Text-only / review</t>
  </si>
  <si>
    <t xml:space="preserve">Matched audio</t>
  </si>
  <si>
    <t xml:space="preserve">52 registered gaps + 24 unregistered spoken lines.</t>
  </si>
  <si>
    <t xml:space="preserve">Mission</t>
  </si>
  <si>
    <t xml:space="preserve">Missing audio</t>
  </si>
  <si>
    <t xml:space="preserve">Unregistered</t>
  </si>
  <si>
    <t xml:space="preserve">Recording total</t>
  </si>
  <si>
    <t xml:space="preserve">Done</t>
  </si>
  <si>
    <t xml:space="preserve">Character / voice</t>
  </si>
  <si>
    <t xml:space="preserve">Recording rows</t>
  </si>
  <si>
    <t xml:space="preserve">Character tab</t>
  </si>
  <si>
    <t xml:space="preserve">Scope</t>
  </si>
  <si>
    <t xml:space="preserve">Balaceanu</t>
  </si>
  <si>
    <t xml:space="preserve">Actor / NPC</t>
  </si>
  <si>
    <t xml:space="preserve">Biribel</t>
  </si>
  <si>
    <t xml:space="preserve">Darius</t>
  </si>
  <si>
    <t xml:space="preserve">Gabi</t>
  </si>
  <si>
    <t xml:space="preserve">Hungry Kid</t>
  </si>
  <si>
    <t xml:space="preserve">IPA Dispatch</t>
  </si>
  <si>
    <t xml:space="preserve">Intercept Operator</t>
  </si>
  <si>
    <t xml:space="preserve">Loyalist Comms</t>
  </si>
  <si>
    <t xml:space="preserve">Maru</t>
  </si>
  <si>
    <t xml:space="preserve">Old Fisherman</t>
  </si>
  <si>
    <t xml:space="preserve">Old Woman</t>
  </si>
  <si>
    <t xml:space="preserve">PA System</t>
  </si>
  <si>
    <t xml:space="preserve">President Retardovici</t>
  </si>
  <si>
    <t xml:space="preserve">Presidential PA</t>
  </si>
  <si>
    <t xml:space="preserve">Seby</t>
  </si>
  <si>
    <t xml:space="preserve">System</t>
  </si>
  <si>
    <t xml:space="preserve">Captions / generic comms</t>
  </si>
  <si>
    <t xml:space="preserve">Vasile</t>
  </si>
  <si>
    <t xml:space="preserve">Volkov</t>
  </si>
  <si>
    <t xml:space="preserve">START HERE → Sources &amp; Read me</t>
  </si>
  <si>
    <t xml:space="preserve">NEW_NNN / TEXT_NNN are checklist IDs, not game VO IDs.</t>
  </si>
  <si>
    <t xml:space="preserve">RECORDING CHECKLIST · ALL CHARACTERS</t>
  </si>
  <si>
    <t xml:space="preserve">Mission 1 → Mission 4 · Optional branches are included; ordering within free-play phases can vary.</t>
  </si>
  <si>
    <t xml:space="preserve">Use filters to select a character or mission. Existing VO IDs keep their original numbering.</t>
  </si>
  <si>
    <t xml:space="preserve">Order</t>
  </si>
  <si>
    <t xml:space="preserve">Scene / trigger</t>
  </si>
  <si>
    <t xml:space="preserve">ID</t>
  </si>
  <si>
    <t xml:space="preserve">Character</t>
  </si>
  <si>
    <t xml:space="preserve">Exact line / dialogue</t>
  </si>
  <si>
    <t xml:space="preserve">Gap / action</t>
  </si>
  <si>
    <t xml:space="preserve">Tracking</t>
  </si>
  <si>
    <t xml:space="preserve">Notes</t>
  </si>
  <si>
    <t xml:space="preserve">Source file : line</t>
  </si>
  <si>
    <t xml:space="preserve">Warehouse safe: wrong-code hint</t>
  </si>
  <si>
    <t xml:space="preserve">NEW_001</t>
  </si>
  <si>
    <t xml:space="preserve">The memos said something about a shipment number…</t>
  </si>
  <si>
    <t xml:space="preserve">Not in voice manifest</t>
  </si>
  <si>
    <t xml:space="preserve">To record</t>
  </si>
  <si>
    <t xml:space="preserve">Add an entry to VOICE_LINES with a new VO ID; recording alone will not resolve this text. Optional: plays after a wrong safe-code attempt (first, second, then third+).</t>
  </si>
  <si>
    <t xml:space="preserve">src/core/interactions.py:189</t>
  </si>
  <si>
    <t xml:space="preserve">NEW_002</t>
  </si>
  <si>
    <t xml:space="preserve">Shipment 7742. Only the last three digits.</t>
  </si>
  <si>
    <t xml:space="preserve">src/core/interactions.py:191</t>
  </si>
  <si>
    <t xml:space="preserve">NEW_003</t>
  </si>
  <si>
    <t xml:space="preserve">7… 4… 2. Has to be.</t>
  </si>
  <si>
    <t xml:space="preserve">src/core/interactions.py:193</t>
  </si>
  <si>
    <t xml:space="preserve">Investigation: travel / equipment warning</t>
  </si>
  <si>
    <t xml:space="preserve">NEW_004</t>
  </si>
  <si>
    <t xml:space="preserve">Route 12 opens into the checkpoint corridor. Stay slow.</t>
  </si>
  <si>
    <t xml:space="preserve">Add an entry to VOICE_LINES with a new VO ID; recording alone will not resolve this text. Travel triggers depend on route; shown in broad progression, not guaranteed trigger order.</t>
  </si>
  <si>
    <t xml:space="preserve">src/missions/m2/meta.py:579</t>
  </si>
  <si>
    <t xml:space="preserve">Investigation: blast overlook</t>
  </si>
  <si>
    <t xml:space="preserve">NEW_005</t>
  </si>
  <si>
    <t xml:space="preserve">Blast pattern is too clean for a panic bombing.</t>
  </si>
  <si>
    <t xml:space="preserve">src/missions/m2/meta.py:591</t>
  </si>
  <si>
    <t xml:space="preserve">Investigation: south ditch static</t>
  </si>
  <si>
    <t xml:space="preserve">NEW_006</t>
  </si>
  <si>
    <t xml:space="preserve">Static is pooling down here. Something jammed the channel.</t>
  </si>
  <si>
    <t xml:space="preserve">src/missions/m2/meta.py:603</t>
  </si>
  <si>
    <t xml:space="preserve">NEW_007</t>
  </si>
  <si>
    <t xml:space="preserve">Government tread, checkpoint equipment... keep your heads down.</t>
  </si>
  <si>
    <t xml:space="preserve">src/missions/m2/meta.py:614</t>
  </si>
  <si>
    <t xml:space="preserve">Investigation: gantry flash preview</t>
  </si>
  <si>
    <t xml:space="preserve">NEW_008</t>
  </si>
  <si>
    <t xml:space="preserve">Did anyone else see that flash above the gantry?</t>
  </si>
  <si>
    <t xml:space="preserve">src/missions/m2/meta.py:625</t>
  </si>
  <si>
    <t xml:space="preserve">Ending: state broadcast</t>
  </si>
  <si>
    <t xml:space="preserve">VO_001</t>
  </si>
  <si>
    <t xml:space="preserve">Route 12 will be remembered as the day KRAP discipline failed the nation.</t>
  </si>
  <si>
    <t xml:space="preserve">No matched audio</t>
  </si>
  <si>
    <t xml:space="preserve">Record clean; the game applies radio processing where needed.</t>
  </si>
  <si>
    <t xml:space="preserve">src/missions/m2/meta.py:103</t>
  </si>
  <si>
    <t xml:space="preserve">Ending: government review</t>
  </si>
  <si>
    <t xml:space="preserve">VO_002</t>
  </si>
  <si>
    <t xml:space="preserve">Effective immediately, KRAP operations in the highway corridor fall under government review.</t>
  </si>
  <si>
    <t xml:space="preserve">src/missions/m2/meta.py:109</t>
  </si>
  <si>
    <t xml:space="preserve">Capture bridge: IPA dispatch</t>
  </si>
  <si>
    <t xml:space="preserve">VO_003</t>
  </si>
  <si>
    <t xml:space="preserve">All units. The KRAP operator is the primary suspect. Bring him in. Authorization IPA-Code Omega.</t>
  </si>
  <si>
    <t xml:space="preserve">src/missions/m2/meta.py:141</t>
  </si>
  <si>
    <t xml:space="preserve">Cold open: monitor taunt</t>
  </si>
  <si>
    <t xml:space="preserve">VO_005</t>
  </si>
  <si>
    <t xml:space="preserve">You told them I was a coward, Biribel.
A fake.
Tonight I tell the nation what you are.</t>
  </si>
  <si>
    <t xml:space="preserve">src/missions/m3/meta.py:99</t>
  </si>
  <si>
    <t xml:space="preserve">Cold open: deadline / repeated interrogation tape</t>
  </si>
  <si>
    <t xml:space="preserve">VO_006</t>
  </si>
  <si>
    <t xml:space="preserve">When the address ends, so do you.
That is not a threat.
That is a schedule.</t>
  </si>
  <si>
    <t xml:space="preserve">Record clean; the game applies radio processing where needed. Shared by the intro and interrogation; also covers duplicate VO_014.</t>
  </si>
  <si>
    <t xml:space="preserve">src/missions/m3/meta.py:113; src/missions/m3/meta.py:388</t>
  </si>
  <si>
    <t xml:space="preserve">Interrogation: monitor tape</t>
  </si>
  <si>
    <t xml:space="preserve">VO_010</t>
  </si>
  <si>
    <t xml:space="preserve">Six years I have waited to show the nation what a KRAP lie looks like. Up close. On camera.</t>
  </si>
  <si>
    <t xml:space="preserve">src/missions/m3/meta.py:360</t>
  </si>
  <si>
    <t xml:space="preserve">VO_011</t>
  </si>
  <si>
    <t xml:space="preserve">They'll see your face, Biribel. They'll hear Route 12. And then they'll see what happens to people who leak rumors about their Prime Minister.</t>
  </si>
  <si>
    <t xml:space="preserve">src/missions/m3/meta.py:362</t>
  </si>
  <si>
    <t xml:space="preserve">VO_012</t>
  </si>
  <si>
    <t xml:space="preserve">At twenty-two hundred, the President names you. Route 12. By face. I made sure the file is... thorough.</t>
  </si>
  <si>
    <t xml:space="preserve">src/missions/m3/meta.py:369</t>
  </si>
  <si>
    <t xml:space="preserve">Interrogation: tape response</t>
  </si>
  <si>
    <t xml:space="preserve">VO_013</t>
  </si>
  <si>
    <t xml:space="preserve">Oh, save it. This tape is one-way. I'm told the acoustics in here are... unkind.</t>
  </si>
  <si>
    <t xml:space="preserve">src/missions/m3/meta.py:386</t>
  </si>
  <si>
    <t xml:space="preserve">Interrogation: Volkov breach</t>
  </si>
  <si>
    <t xml:space="preserve">VO_071</t>
  </si>
  <si>
    <t xml:space="preserve">Door's kicked. Camera loop: four minutes, maybe less. I get you out, you get me clear. Move.</t>
  </si>
  <si>
    <t xml:space="preserve">src/missions/m3/meta.py:421</t>
  </si>
  <si>
    <t xml:space="preserve">Interrogation: escape instruction</t>
  </si>
  <si>
    <t xml:space="preserve">VO_072</t>
  </si>
  <si>
    <t xml:space="preserve">I came in through their own back door. Same way out, if you keep up. Move, operator. Move.</t>
  </si>
  <si>
    <t xml:space="preserve">src/missions/m3/meta.py:423</t>
  </si>
  <si>
    <t xml:space="preserve">Interrogation breach: alarm</t>
  </si>
  <si>
    <t xml:space="preserve">VO_147</t>
  </si>
  <si>
    <t xml:space="preserve">Too loud now. Move!</t>
  </si>
  <si>
    <t xml:space="preserve">src/missions/m3/interrog.py:405</t>
  </si>
  <si>
    <t xml:space="preserve">Breakout: Volkov draws guards away</t>
  </si>
  <si>
    <t xml:space="preserve">VO_148</t>
  </si>
  <si>
    <t xml:space="preserve">Alarm's up. I'll draw them off, you move.</t>
  </si>
  <si>
    <t xml:space="preserve">src/missions/m3/interrog.py:490</t>
  </si>
  <si>
    <t xml:space="preserve">Breakout checkpoint: resume bark</t>
  </si>
  <si>
    <t xml:space="preserve">VO_131</t>
  </si>
  <si>
    <t xml:space="preserve">I bought you seconds. Make the leg useful, then move.</t>
  </si>
  <si>
    <t xml:space="preserve">Record clean; the game applies radio processing where needed. Checkpoint/resume path, not a mandatory fresh-run beat.</t>
  </si>
  <si>
    <t xml:space="preserve">src/missions/m3/flow.py:441</t>
  </si>
  <si>
    <t xml:space="preserve">Breakout: exit / south hall</t>
  </si>
  <si>
    <t xml:space="preserve">VO_135</t>
  </si>
  <si>
    <t xml:space="preserve">They're awake now. South hall, move.</t>
  </si>
  <si>
    <t xml:space="preserve">src/missions/m3/flow.py:1276</t>
  </si>
  <si>
    <t xml:space="preserve">Black Ledger: secret detainee encounter</t>
  </si>
  <si>
    <t xml:space="preserve">VO_016</t>
  </si>
  <si>
    <t xml:space="preserve">Thirteen names closed. One name opened.</t>
  </si>
  <si>
    <t xml:space="preserve">Record clean; the game applies radio processing where needed. Secret encounter: triggered after killing all ambient detainees.</t>
  </si>
  <si>
    <t xml:space="preserve">src/missions/m3/systems.py:2121</t>
  </si>
  <si>
    <t xml:space="preserve">Breakout → Comms: radio handoff</t>
  </si>
  <si>
    <t xml:space="preserve">VO_055</t>
  </si>
  <si>
    <t xml:space="preserve">Biribel! Take the radio. I draw them off, you get the relay alive.</t>
  </si>
  <si>
    <t xml:space="preserve">src/missions/m3/meta.py:231</t>
  </si>
  <si>
    <t xml:space="preserve">Comms: optional ammo resupply cutscene</t>
  </si>
  <si>
    <t xml:space="preserve">VO_057</t>
  </si>
  <si>
    <t xml:space="preserve">Out? Here. Two more. Make them count.</t>
  </si>
  <si>
    <t xml:space="preserve">Record clean; the game applies radio processing where needed. Conditional gameplay / route; timing varies with play.</t>
  </si>
  <si>
    <t xml:space="preserve">src/missions/m3/meta.py:239</t>
  </si>
  <si>
    <t xml:space="preserve">Comms: rotating ammo-resupply bark</t>
  </si>
  <si>
    <t xml:space="preserve">NEW_009</t>
  </si>
  <si>
    <t xml:space="preserve">Out?! Catch!</t>
  </si>
  <si>
    <t xml:space="preserve">Add an entry to VOICE_LINES with a new VO ID; recording alone will not resolve this text. Rotates with resupplies; can interleave other phase dialogue.</t>
  </si>
  <si>
    <t xml:space="preserve">src/missions/m3/flow.py:1248</t>
  </si>
  <si>
    <t xml:space="preserve">NEW_010</t>
  </si>
  <si>
    <t xml:space="preserve">Mag up, move!</t>
  </si>
  <si>
    <t xml:space="preserve">src/missions/m3/flow.py:1249</t>
  </si>
  <si>
    <t xml:space="preserve">NEW_011</t>
  </si>
  <si>
    <t xml:space="preserve">Stay lethal!</t>
  </si>
  <si>
    <t xml:space="preserve">src/missions/m3/flow.py:1250</t>
  </si>
  <si>
    <t xml:space="preserve">Comms: authorization acquired</t>
  </si>
  <si>
    <t xml:space="preserve">VO_129</t>
  </si>
  <si>
    <t xml:space="preserve">Authorization is good. Get back to the relay.</t>
  </si>
  <si>
    <t xml:space="preserve">Record clean; the game applies radio processing where needed. Also covers duplicate VO_162.</t>
  </si>
  <si>
    <t xml:space="preserve">src/missions/m3/systems.py:3045</t>
  </si>
  <si>
    <t xml:space="preserve">Comms → Archives: ally joins</t>
  </si>
  <si>
    <t xml:space="preserve">VO_058</t>
  </si>
  <si>
    <t xml:space="preserve">On your six. Move.</t>
  </si>
  <si>
    <t xml:space="preserve">src/missions/m3/meta.py:251</t>
  </si>
  <si>
    <t xml:space="preserve">Archives checkpoint: resume bark</t>
  </si>
  <si>
    <t xml:space="preserve">VO_133</t>
  </si>
  <si>
    <t xml:space="preserve">Back on your six. Call when you're dry, I've got mags.</t>
  </si>
  <si>
    <t xml:space="preserve">src/missions/m3/flow.py:627</t>
  </si>
  <si>
    <t xml:space="preserve">Archives: phase entry</t>
  </si>
  <si>
    <t xml:space="preserve">VO_137</t>
  </si>
  <si>
    <t xml:space="preserve">I'm with you. Stacks west, vault northeast. Don't dry the mag, I'll toss you one.</t>
  </si>
  <si>
    <t xml:space="preserve">src/missions/m3/flow.py:1410</t>
  </si>
  <si>
    <t xml:space="preserve">Archives: rotating ammo-resupply bark</t>
  </si>
  <si>
    <t xml:space="preserve">NEW_012</t>
  </si>
  <si>
    <t xml:space="preserve">Dry? Catch, don't make me regret this!</t>
  </si>
  <si>
    <t xml:space="preserve">src/missions/m3/flow.py:1242</t>
  </si>
  <si>
    <t xml:space="preserve">NEW_013</t>
  </si>
  <si>
    <t xml:space="preserve">Mag! Keep pushing the stacks!</t>
  </si>
  <si>
    <t xml:space="preserve">src/missions/m3/flow.py:1243</t>
  </si>
  <si>
    <t xml:space="preserve">NEW_014</t>
  </si>
  <si>
    <t xml:space="preserve">Last spare. Make them count!</t>
  </si>
  <si>
    <t xml:space="preserve">src/missions/m3/flow.py:1244</t>
  </si>
  <si>
    <t xml:space="preserve">Archives: Maru dead-drop contact</t>
  </si>
  <si>
    <t xml:space="preserve">VO_142</t>
  </si>
  <si>
    <t xml:space="preserve">The only unforged copy is under glass in the cold vault. Take it. Then the north stairwell, Balaceanu's sweep is already moving.</t>
  </si>
  <si>
    <t xml:space="preserve">src/missions/m3/flow.py:1829</t>
  </si>
  <si>
    <t xml:space="preserve">Archives: Vostral pickup / exit</t>
  </si>
  <si>
    <t xml:space="preserve">VO_144</t>
  </si>
  <si>
    <t xml:space="preserve">I've got your back to the door. Go.</t>
  </si>
  <si>
    <t xml:space="preserve">src/missions/m3/flow.py:1879</t>
  </si>
  <si>
    <t xml:space="preserve">Archives: Vostral pickup / warning</t>
  </si>
  <si>
    <t xml:space="preserve">VO_145</t>
  </si>
  <si>
    <t xml:space="preserve">They will burn the wing when they realize. Don't look back.</t>
  </si>
  <si>
    <t xml:space="preserve">src/missions/m3/flow.py:1883</t>
  </si>
  <si>
    <t xml:space="preserve">Archives → Kill Order: Volkov</t>
  </si>
  <si>
    <t xml:space="preserve">VO_060</t>
  </si>
  <si>
    <t xml:space="preserve">My van's still staged at the dock, I haven't bailed on you yet. Through that smoke, friend, and don't make me regret it.</t>
  </si>
  <si>
    <t xml:space="preserve">src/missions/m3/meta.py:264</t>
  </si>
  <si>
    <t xml:space="preserve">Archives → Kill Order: PA</t>
  </si>
  <si>
    <t xml:space="preserve">VO_008</t>
  </si>
  <si>
    <t xml:space="preserve">Sweep teams: the prisoner is in the lobby levels. Free fire, my address begins at 22:00, and I will not be interrupted.</t>
  </si>
  <si>
    <t xml:space="preserve">src/missions/m3/meta.py:267</t>
  </si>
  <si>
    <t xml:space="preserve">Kill Order: scheduled PA</t>
  </si>
  <si>
    <t xml:space="preserve">VO_004</t>
  </si>
  <si>
    <t xml:space="preserve">Sweep teams, report. The prisoner carries state property. My address begins at 22:00, and he will not outlive it.</t>
  </si>
  <si>
    <t xml:space="preserve">src/missions/m3/flow.py:955</t>
  </si>
  <si>
    <t xml:space="preserve">Kill Order: shield contact</t>
  </si>
  <si>
    <t xml:space="preserve">VO_160</t>
  </si>
  <si>
    <t xml:space="preserve">Contact - shield point ahead! His sight cone is narrow: go around it, friend.</t>
  </si>
  <si>
    <t xml:space="preserve">src/missions/m3/sweep.py:1044</t>
  </si>
  <si>
    <t xml:space="preserve">Kill Order: extraction window warning</t>
  </si>
  <si>
    <t xml:space="preserve">NEW_015</t>
  </si>
  <si>
    <t xml:space="preserve">Window's closing. My engine idles for no one - not even you.</t>
  </si>
  <si>
    <t xml:space="preserve">Add an entry to VOICE_LINES with a new VO ID; recording alone will not resolve this text. Threshold: 210 seconds remaining; can interleave combat beats.</t>
  </si>
  <si>
    <t xml:space="preserve">src/missions/m3/sweep.py:755</t>
  </si>
  <si>
    <t xml:space="preserve">Kill Order: shield point cleared</t>
  </si>
  <si>
    <t xml:space="preserve">VO_149</t>
  </si>
  <si>
    <t xml:space="preserve">Shield point is down - the south is open. Push, friend.</t>
  </si>
  <si>
    <t xml:space="preserve">src/missions/m3/sweep.py:287</t>
  </si>
  <si>
    <t xml:space="preserve">NEW_016</t>
  </si>
  <si>
    <t xml:space="preserve">Volkov's patience is a resource. Spend it wisely.</t>
  </si>
  <si>
    <t xml:space="preserve">Add an entry to VOICE_LINES with a new VO ID; recording alone will not resolve this text. Threshold: 120 seconds remaining; can interleave combat beats.</t>
  </si>
  <si>
    <t xml:space="preserve">src/missions/m3/sweep.py:758</t>
  </si>
  <si>
    <t xml:space="preserve">NEW_017</t>
  </si>
  <si>
    <t xml:space="preserve">Forty-five seconds. Then I'm a memory.</t>
  </si>
  <si>
    <t xml:space="preserve">Add an entry to VOICE_LINES with a new VO ID; recording alone will not resolve this text. Threshold: 45 seconds remaining; can interleave combat beats.</t>
  </si>
  <si>
    <t xml:space="preserve">src/missions/m3/sweep.py:760</t>
  </si>
  <si>
    <t xml:space="preserve">Kill Order: dock gates / no van</t>
  </si>
  <si>
    <t xml:space="preserve">VO_150</t>
  </si>
  <si>
    <t xml:space="preserve">Dock gates open. No van waiting - move.</t>
  </si>
  <si>
    <t xml:space="preserve">src/missions/m3/sweep.py:290</t>
  </si>
  <si>
    <t xml:space="preserve">Kill Order: marksman down / van available</t>
  </si>
  <si>
    <t xml:space="preserve">VO_151</t>
  </si>
  <si>
    <t xml:space="preserve">Their marksman is gone. Dock gates are open - I'll cycle the door when you get there.</t>
  </si>
  <si>
    <t xml:space="preserve">src/missions/m3/sweep.py:293</t>
  </si>
  <si>
    <t xml:space="preserve">Kill Order: Volkov window expires</t>
  </si>
  <si>
    <t xml:space="preserve">VO_154</t>
  </si>
  <si>
    <t xml:space="preserve">...The van's gone. Dock crane, roof line - you're resourceful. Sorry, friend.</t>
  </si>
  <si>
    <t xml:space="preserve">src/missions/m3/sweep.py:769</t>
  </si>
  <si>
    <t xml:space="preserve">Dock holdout: van branch</t>
  </si>
  <si>
    <t xml:space="preserve">VO_155</t>
  </si>
  <si>
    <t xml:space="preserve">Behind me. Door cycles in forty-five. I'll keep them off it.</t>
  </si>
  <si>
    <t xml:space="preserve">src/missions/m3/sweep.py:874</t>
  </si>
  <si>
    <t xml:space="preserve">Dock holdout: crane / roof branch</t>
  </si>
  <si>
    <t xml:space="preserve">VO_156</t>
  </si>
  <si>
    <t xml:space="preserve">No van. The crane cage lifts to the roof line - hold the dock until it clears.</t>
  </si>
  <si>
    <t xml:space="preserve">src/missions/m3/sweep.py:877</t>
  </si>
  <si>
    <t xml:space="preserve">Dock holdout: van gate still blocked</t>
  </si>
  <si>
    <t xml:space="preserve">VO_157</t>
  </si>
  <si>
    <t xml:space="preserve">Van's held - sweep teams still on you. Clear them, then we roll!</t>
  </si>
  <si>
    <t xml:space="preserve">src/missions/m3/sweep.py:955</t>
  </si>
  <si>
    <t xml:space="preserve">Exfil: roof branch</t>
  </si>
  <si>
    <t xml:space="preserve">VO_158</t>
  </si>
  <si>
    <t xml:space="preserve">Roof line confirmed. You're a ghost again, Biribel. Now - the broadcast.</t>
  </si>
  <si>
    <t xml:space="preserve">src/missions/m3/sweep.py:985</t>
  </si>
  <si>
    <t xml:space="preserve">Exfil: van branch</t>
  </si>
  <si>
    <t xml:space="preserve">VO_159</t>
  </si>
  <si>
    <t xml:space="preserve">File's aboard. I drive, you watch the mirrors. DRIVE!</t>
  </si>
  <si>
    <t xml:space="preserve">src/missions/m3/sweep.py:988</t>
  </si>
  <si>
    <t xml:space="preserve">Kill Order → Broadcast: PA</t>
  </si>
  <si>
    <t xml:space="preserve">VO_009</t>
  </si>
  <si>
    <t xml:space="preserve">The prisoner is contained. At twenty-two hundred I will close the matter of Route 12, on camera, before the nation.</t>
  </si>
  <si>
    <t xml:space="preserve">src/missions/m3/meta.py:288</t>
  </si>
  <si>
    <t xml:space="preserve">Broadcast: phase entry</t>
  </si>
  <si>
    <t xml:space="preserve">VO_140</t>
  </si>
  <si>
    <t xml:space="preserve">I'm on your six. You take the desk, I'll hold the floor.</t>
  </si>
  <si>
    <t xml:space="preserve">src/missions/m3/flow.py:1454</t>
  </si>
  <si>
    <t xml:space="preserve">Broadcast timeout: fail cutscene</t>
  </si>
  <si>
    <t xml:space="preserve">VO_015</t>
  </si>
  <si>
    <t xml:space="preserve">Twenty-two hundred. The address is finished. The prisoner is contained. Route 12 is closed.</t>
  </si>
  <si>
    <t xml:space="preserve">Record clean; the game applies radio processing where needed. Only when the broadcast timer expires.</t>
  </si>
  <si>
    <t xml:space="preserve">src/missions/m3/meta.py:483</t>
  </si>
  <si>
    <t xml:space="preserve">Ending: feed cut</t>
  </si>
  <si>
    <t xml:space="preserve">VO_007</t>
  </si>
  <si>
    <t xml:space="preserve">What is this? Cut the feed. CUT THE FEED!</t>
  </si>
  <si>
    <t xml:space="preserve">src/missions/m3/meta.py:140</t>
  </si>
  <si>
    <t xml:space="preserve">Ending: booth conversation</t>
  </si>
  <si>
    <t xml:space="preserve">VO_052</t>
  </si>
  <si>
    <t xml:space="preserve">Six years he spent building it. You read it in one minute.</t>
  </si>
  <si>
    <t xml:space="preserve">src/missions/m3/meta.py:154</t>
  </si>
  <si>
    <t xml:space="preserve">Aftermath streets: timed radio beat</t>
  </si>
  <si>
    <t xml:space="preserve">NEW_018</t>
  </si>
  <si>
    <t xml:space="preserve">This isn't a crackdown - it's a collapse. Stay off the boulevard.</t>
  </si>
  <si>
    <t xml:space="preserve">Add an entry to VOICE_LINES with a new VO ID; recording alone will not resolve this text.</t>
  </si>
  <si>
    <t xml:space="preserve">src/missions/m4/flow.py:78</t>
  </si>
  <si>
    <t xml:space="preserve">NEW_019</t>
  </si>
  <si>
    <t xml:space="preserve">North border logged one vehicle at first light. Volkov ran.</t>
  </si>
  <si>
    <t xml:space="preserve">Add an entry to VOICE_LINES with a new VO ID; recording alone will not resolve this text. Intercept voice is not Volkov; the line reports his escape.</t>
  </si>
  <si>
    <t xml:space="preserve">src/missions/m4/flow.py:81</t>
  </si>
  <si>
    <t xml:space="preserve">NEW_020</t>
  </si>
  <si>
    <t xml:space="preserve">Citizens. Curfew holds. The Presidency has this under control.</t>
  </si>
  <si>
    <t xml:space="preserve">Add an entry to VOICE_LINES with a new VO ID; recording alone will not resolve this text. Speaker is PA in code; presidential channel, actor not explicitly named.</t>
  </si>
  <si>
    <t xml:space="preserve">src/missions/m4/flow.py:84</t>
  </si>
  <si>
    <t xml:space="preserve">Station: liaison meeting</t>
  </si>
  <si>
    <t xml:space="preserve">VO_073</t>
  </si>
  <si>
    <t xml:space="preserve">You got the file on air. Out here, that's not nothing.</t>
  </si>
  <si>
    <t xml:space="preserve">src/missions/m4/flow.py:140</t>
  </si>
  <si>
    <t xml:space="preserve">VO_074</t>
  </si>
  <si>
    <t xml:space="preserve">His men have this block pinned. Hold the transmitter and let the arrest air.</t>
  </si>
  <si>
    <t xml:space="preserve">src/missions/m4/flow.py:142</t>
  </si>
  <si>
    <t xml:space="preserve">Station: liaison question</t>
  </si>
  <si>
    <t xml:space="preserve">VO_075</t>
  </si>
  <si>
    <t xml:space="preserve">One question before you bleed for this building - who are you fighting for?</t>
  </si>
  <si>
    <t xml:space="preserve">src/missions/m4/flow.py:144</t>
  </si>
  <si>
    <t xml:space="preserve">Station: state-choice reply</t>
  </si>
  <si>
    <t xml:space="preserve">VO_076</t>
  </si>
  <si>
    <t xml:space="preserve">Then hold the line. Order is all that's between this city and the pit.</t>
  </si>
  <si>
    <t xml:space="preserve">Needs speaker check</t>
  </si>
  <si>
    <t xml:space="preserve">SPEAKER MISMATCH: manifest says MARU (reply), but _resolve_choice inserts this as BIRIBEL. Confirm/fix speaker before recording. Choice label is not separately spoken.</t>
  </si>
  <si>
    <t xml:space="preserve">src/missions/m4/flow.py:146</t>
  </si>
  <si>
    <t xml:space="preserve">Station: people-choice reply</t>
  </si>
  <si>
    <t xml:space="preserve">VO_077</t>
  </si>
  <si>
    <t xml:space="preserve">Good answer. Tools get pointed at the people too - remember that.</t>
  </si>
  <si>
    <t xml:space="preserve">Station: liaison finished / jammer task</t>
  </si>
  <si>
    <t xml:space="preserve">VO_164</t>
  </si>
  <si>
    <t xml:space="preserve">Jammer's on the east rack. Break their comms before they organize.</t>
  </si>
  <si>
    <t xml:space="preserve">src/missions/m4/flow.py:280</t>
  </si>
  <si>
    <t xml:space="preserve">Station: reach jammer rack</t>
  </si>
  <si>
    <t xml:space="preserve">VO_171</t>
  </si>
  <si>
    <t xml:space="preserve">That's the rack. Plant it (E) and their comms go dark.</t>
  </si>
  <si>
    <t xml:space="preserve">src/missions/m4/flow.py:557</t>
  </si>
  <si>
    <t xml:space="preserve">Station: jammer installed / siege starts</t>
  </si>
  <si>
    <t xml:space="preserve">VO_173</t>
  </si>
  <si>
    <t xml:space="preserve">Jammer's live. Their comms are soup now. Get to the transmitter and hold it - when Retardovici gives the order, it has to reach every set in the country.</t>
  </si>
  <si>
    <t xml:space="preserve">src/missions/m4/flow.py:596</t>
  </si>
  <si>
    <t xml:space="preserve">Transmitter siege: arrest / stand-down broadcast</t>
  </si>
  <si>
    <t xml:space="preserve">NEW_021</t>
  </si>
  <si>
    <t xml:space="preserve">All units. By order of the Presidency, garrison command is... recalibrated.</t>
  </si>
  <si>
    <t xml:space="preserve">src/missions/m4/flow.py:334</t>
  </si>
  <si>
    <t xml:space="preserve">NEW_022</t>
  </si>
  <si>
    <t xml:space="preserve">General Balaceanu is relieved of command and arrested. Escort him out.</t>
  </si>
  <si>
    <t xml:space="preserve">src/missions/m4/flow.py:336</t>
  </si>
  <si>
    <t xml:space="preserve">NEW_023</t>
  </si>
  <si>
    <t xml:space="preserve">-say again- who gave the or- our channel's on every set-</t>
  </si>
  <si>
    <t xml:space="preserve">src/missions/m4/flow.py:338</t>
  </si>
  <si>
    <t xml:space="preserve">NEW_024</t>
  </si>
  <si>
    <t xml:space="preserve">Fall back! Nobody dies for a man already in a cell. Break off!</t>
  </si>
  <si>
    <t xml:space="preserve">src/missions/m4/flow.py:342</t>
  </si>
  <si>
    <t xml:space="preserve">Ending: Maru silhouette</t>
  </si>
  <si>
    <t xml:space="preserve">VO_081</t>
  </si>
  <si>
    <t xml:space="preserve">And the man on the screen smiles. The country is cheering
the wrong name tonight.</t>
  </si>
  <si>
    <t xml:space="preserve">src/missions/m4/meta.py:161</t>
  </si>
  <si>
    <t xml:space="preserve">TEXT-ONLY REVIEW</t>
  </si>
  <si>
    <t xml:space="preserve">Separate from required actor recordings: text-only conversations, system captions, or implementation review.</t>
  </si>
  <si>
    <t xml:space="preserve">Slum: conversation without rations</t>
  </si>
  <si>
    <t xml:space="preserve">TEXT_001</t>
  </si>
  <si>
    <t xml:space="preserve">cough... I haven't eaten in two days.
Do you have any food, sir?</t>
  </si>
  <si>
    <t xml:space="preserve">Text-only; no VO hook</t>
  </si>
  <si>
    <t xml:space="preserve">Review</t>
  </si>
  <si>
    <t xml:space="preserve">No manifest entry and no voice-playback call. Add playback plus a VO ID only if you intend this NPC dialogue to be voiced. Optional interaction; local order depends on the player.</t>
  </si>
  <si>
    <t xml:space="preserve">src/missions/walking_sim.py:224</t>
  </si>
  <si>
    <t xml:space="preserve">Slum: repeat interaction</t>
  </si>
  <si>
    <t xml:space="preserve">TEXT_002</t>
  </si>
  <si>
    <t xml:space="preserve">Thanks for the food, sir! Be careful, the guards are on high alert.</t>
  </si>
  <si>
    <t xml:space="preserve">src/missions/walking_sim.py:232</t>
  </si>
  <si>
    <t xml:space="preserve">TEXT_003</t>
  </si>
  <si>
    <t xml:space="preserve">They took everything... even the well water is contaminated.
A dry throat and an empty stomach, that's our reward.</t>
  </si>
  <si>
    <t xml:space="preserve">src/missions/walking_sim.py:242</t>
  </si>
  <si>
    <t xml:space="preserve">Slum: food-gift response</t>
  </si>
  <si>
    <t xml:space="preserve">TEXT_004</t>
  </si>
  <si>
    <t xml:space="preserve">Bless you, soldier. Listen closely...
The guards at the warehouse safe use a security passcode.
I saw them write it down on notes: 7 - 4 - 2.
Remember it well.</t>
  </si>
  <si>
    <t xml:space="preserve">src/missions/walking_sim.py:246</t>
  </si>
  <si>
    <t xml:space="preserve">TEXT_005</t>
  </si>
  <si>
    <t xml:space="preserve">Remember, the code to the notebook safe is 742.</t>
  </si>
  <si>
    <t xml:space="preserve">src/missions/walking_sim.py:252</t>
  </si>
  <si>
    <t xml:space="preserve">Harbor: oil-rig attack</t>
  </si>
  <si>
    <t xml:space="preserve">TEXT_006</t>
  </si>
  <si>
    <t xml:space="preserve">Hear that engine?
Too fast for a fishing boat.</t>
  </si>
  <si>
    <t xml:space="preserve">Timeline frame 135 (60 fps). _trigger_walk_dialogue only displays text; no manifest entry or voice-playback call.</t>
  </si>
  <si>
    <t xml:space="preserve">src/missions/walking_sim.py:1424</t>
  </si>
  <si>
    <t xml:space="preserve">TEXT_007</t>
  </si>
  <si>
    <t xml:space="preserve">They come in low during the rain.
The rigs never see them until the first rocket.</t>
  </si>
  <si>
    <t xml:space="preserve">Timeline frame 360 (60 fps). _trigger_walk_dialogue only displays text; no manifest entry or voice-playback call.</t>
  </si>
  <si>
    <t xml:space="preserve">src/missions/walking_sim.py:1436</t>
  </si>
  <si>
    <t xml:space="preserve">TEXT_008</t>
  </si>
  <si>
    <t xml:space="preserve">There. Center rig's folding.</t>
  </si>
  <si>
    <t xml:space="preserve">Timeline frame 574 (60 fps). _trigger_walk_dialogue only displays text; no manifest entry or voice-playback call.</t>
  </si>
  <si>
    <t xml:space="preserve">src/missions/walking_sim.py:1466</t>
  </si>
  <si>
    <t xml:space="preserve">TEXT_009</t>
  </si>
  <si>
    <t xml:space="preserve">Left rig's falling into the sea.</t>
  </si>
  <si>
    <t xml:space="preserve">Timeline frame 795 (60 fps). _trigger_walk_dialogue only displays text; no manifest entry or voice-playback call.</t>
  </si>
  <si>
    <t xml:space="preserve">src/missions/walking_sim.py:1472</t>
  </si>
  <si>
    <t xml:space="preserve">TEXT_010</t>
  </si>
  <si>
    <t xml:space="preserve">Now the last one burns.
Three fires on the horizon.</t>
  </si>
  <si>
    <t xml:space="preserve">Timeline frame 1030 (60 fps). _trigger_walk_dialogue only displays text; no manifest entry or voice-playback call.</t>
  </si>
  <si>
    <t xml:space="preserve">src/missions/walking_sim.py:1478</t>
  </si>
  <si>
    <t xml:space="preserve">TEXT_011</t>
  </si>
  <si>
    <t xml:space="preserve">Third time this month.
KRAP watches until the oil stops moving.</t>
  </si>
  <si>
    <t xml:space="preserve">Timeline frame 1220 (60 fps). _trigger_walk_dialogue only displays text; no manifest entry or voice-playback call.</t>
  </si>
  <si>
    <t xml:space="preserve">src/missions/walking_sim.py:1452</t>
  </si>
  <si>
    <t xml:space="preserve">TEXT_012</t>
  </si>
  <si>
    <t xml:space="preserve">You're new.
You'll learn.</t>
  </si>
  <si>
    <t xml:space="preserve">Timeline frame 1600 (60 fps). _trigger_walk_dialogue only displays text; no manifest entry or voice-playback call.</t>
  </si>
  <si>
    <t xml:space="preserve">src/missions/walking_sim.py:1459</t>
  </si>
  <si>
    <t xml:space="preserve">System radio / objective notice</t>
  </si>
  <si>
    <t xml:space="preserve">TEXT_013</t>
  </si>
  <si>
    <t xml:space="preserve">IPA cleanup team in control sector.</t>
  </si>
  <si>
    <t xml:space="preserve">Generic system text; review</t>
  </si>
  <si>
    <t xml:space="preserve">Uses the radio-text channel but has no assigned actor or manifest entry. Voice only if wanted; add a VO ID first.</t>
  </si>
  <si>
    <t xml:space="preserve">src/missions/m2/sniper.py:1342</t>
  </si>
  <si>
    <t xml:space="preserve">TEXT_014</t>
  </si>
  <si>
    <t xml:space="preserve">Evidence transmitted. Move to extraction.</t>
  </si>
  <si>
    <t xml:space="preserve">src/missions/m2/world.py:429</t>
  </si>
  <si>
    <t xml:space="preserve">Evidence: reinforcement notice (dynamic template)</t>
  </si>
  <si>
    <t xml:space="preserve">TEXT_015</t>
  </si>
  <si>
    <t xml:space="preserve">IPA {SECOND
FINAL} WAVE INBOUND - {hostile count} HOSTILES</t>
  </si>
  <si>
    <t xml:space="preserve">Dynamic system text; review</t>
  </si>
  <si>
    <t xml:space="preserve">Interpolated wave label and hostile count; no fixed manifest lookup. Needs a deliberate dynamic/split-clip implementation if voiced.</t>
  </si>
  <si>
    <t xml:space="preserve">src/missions/m2/sniper.py:1429–1433</t>
  </si>
  <si>
    <t xml:space="preserve">System caption / display</t>
  </si>
  <si>
    <t xml:space="preserve">TEXT_016</t>
  </si>
  <si>
    <t xml:space="preserve">TRANSMISSION SENT
ARCHIVE PARTIALLY CORRUPTED</t>
  </si>
  <si>
    <t xml:space="preserve">Caption; not actor dialogue</t>
  </si>
  <si>
    <t xml:space="preserve">On-screen transmission, monitor, or retry caption. No assigned character VO. Do not treat this as a required actor recording.</t>
  </si>
  <si>
    <t xml:space="preserve">src/missions/m2/meta.py:97</t>
  </si>
  <si>
    <t xml:space="preserve">TEXT_017</t>
  </si>
  <si>
    <t xml:space="preserve">STATE ADDRESS, LIVE TONIGHT, 22:00
SUBJECT: ROUTE 12 PERPETRATOR</t>
  </si>
  <si>
    <t xml:space="preserve">src/missions/m3/meta.py:106</t>
  </si>
  <si>
    <t xml:space="preserve">TEXT_018</t>
  </si>
  <si>
    <t xml:space="preserve">ADDRESS COMPLETE. THE STUDIO IS THEIRS.
FEED RELEASED - WING RESET. GO AGAIN.</t>
  </si>
  <si>
    <t xml:space="preserve">src/missions/m3/meta.py:486</t>
  </si>
  <si>
    <t xml:space="preserve">TEXT_019</t>
  </si>
  <si>
    <t xml:space="preserve">Guns down. That's the President on the wire. The General's in cuffs.</t>
  </si>
  <si>
    <t xml:space="preserve">src/missions/m4/flow.py:340</t>
  </si>
  <si>
    <t xml:space="preserve">TEXT_020</t>
  </si>
  <si>
    <t xml:space="preserve">The transmitter is live. Do not let it go dark.</t>
  </si>
  <si>
    <t xml:space="preserve">src/missions/m4/flow.py:480</t>
  </si>
  <si>
    <t xml:space="preserve">TEXT_021</t>
  </si>
  <si>
    <t xml:space="preserve">All units - the studio transmitter is live. Do not let it go dark.</t>
  </si>
  <si>
    <t xml:space="preserve">src/missions/m4/flow.py:607</t>
  </si>
  <si>
    <t xml:space="preserve">BALACEANU</t>
  </si>
  <si>
    <t xml:space="preserve">Character view. Update Tracking on the master Missing lines / Text-only review tab.</t>
  </si>
  <si>
    <t xml:space="preserve">BIRIBEL</t>
  </si>
  <si>
    <t xml:space="preserve">DARIUS</t>
  </si>
  <si>
    <t xml:space="preserve">GABI</t>
  </si>
  <si>
    <t xml:space="preserve">HUNGRY KID</t>
  </si>
  <si>
    <t xml:space="preserve">IPA DISPATCH</t>
  </si>
  <si>
    <t xml:space="preserve">INTERCEPT OPERATOR</t>
  </si>
  <si>
    <t xml:space="preserve">LOYALIST COMMS</t>
  </si>
  <si>
    <t xml:space="preserve">MARU</t>
  </si>
  <si>
    <t xml:space="preserve">OLD FISHERMAN</t>
  </si>
  <si>
    <t xml:space="preserve">OLD WOMAN</t>
  </si>
  <si>
    <t xml:space="preserve">PA SYSTEM</t>
  </si>
  <si>
    <t xml:space="preserve">PRESIDENT RETARDOVICI</t>
  </si>
  <si>
    <t xml:space="preserve">PRESIDENTIAL PA</t>
  </si>
  <si>
    <t xml:space="preserve">SEBY</t>
  </si>
  <si>
    <t xml:space="preserve">SYSTEM</t>
  </si>
  <si>
    <t xml:space="preserve">VASILE</t>
  </si>
  <si>
    <t xml:space="preserve">VOLKOV</t>
  </si>
  <si>
    <t xml:space="preserve">VOICE REGISTRY · AUDIO MATCH AUDIT</t>
  </si>
  <si>
    <t xml:space="preserve">All 173 manifest IDs. Audio matched means the game matcher finds a file, not that the speech content was verified.</t>
  </si>
  <si>
    <t xml:space="preserve">VO ID</t>
  </si>
  <si>
    <t xml:space="preserve">Manifest speaker</t>
  </si>
  <si>
    <t xml:space="preserve">Manifest text</t>
  </si>
  <si>
    <t xml:space="preserve">Audit result</t>
  </si>
  <si>
    <t xml:space="preserve">Matched file</t>
  </si>
  <si>
    <t xml:space="preserve">Script references</t>
  </si>
  <si>
    <t xml:space="preserve">Included in Missing lines.</t>
  </si>
  <si>
    <t xml:space="preserve">BALACEANU (PA)</t>
  </si>
  <si>
    <t xml:space="preserve">VO_014</t>
  </si>
  <si>
    <t xml:space="preserve">When the address ends, so do you. That is not a threat. That is a schedule.</t>
  </si>
  <si>
    <t xml:space="preserve">Duplicate; reuse</t>
  </si>
  <si>
    <t xml:space="preserve">Duplicate of VO_006</t>
  </si>
  <si>
    <t xml:space="preserve">VO_017</t>
  </si>
  <si>
    <t xml:space="preserve">Narrator</t>
  </si>
  <si>
    <t xml:space="preserve">NARRATOR</t>
  </si>
  <si>
    <t xml:space="preserve">The Kilemeno Ocean. Once a fishing route.
Now a graveyard of derricks and broken treaties.</t>
  </si>
  <si>
    <t xml:space="preserve">Audio matched</t>
  </si>
  <si>
    <t xml:space="preserve">assets/voice/Narrator/Generated Audio October 07, 2026 - 11_39PM.wav</t>
  </si>
  <si>
    <t xml:space="preserve">src/cutscenes/engine.py:708</t>
  </si>
  <si>
    <t xml:space="preserve">Game filename/duration matcher; clip speech content not transcribed or validated.</t>
  </si>
  <si>
    <t xml:space="preserve">VO_018</t>
  </si>
  <si>
    <t xml:space="preserve">Acaristan. A nation in name only.
The ground beneath it is worth more than the people standing on it.</t>
  </si>
  <si>
    <t xml:space="preserve">assets/voice/Narrator/Generated Audio October 07, 2026 - 11_39PM(1).wav</t>
  </si>
  <si>
    <t xml:space="preserve">src/cutscenes/engine.py:714</t>
  </si>
  <si>
    <t xml:space="preserve">VO_019</t>
  </si>
  <si>
    <t xml:space="preserve">The IPA promises rebuilding.
Their oil flows. Their guns sell.
Their hands are clean - for the cameras.</t>
  </si>
  <si>
    <t xml:space="preserve">assets/voice/Narrator/Generated Audio October 07, 2026 - 11_39PM(2).wav</t>
  </si>
  <si>
    <t xml:space="preserve">src/cutscenes/engine.py:720</t>
  </si>
  <si>
    <t xml:space="preserve">VO_020</t>
  </si>
  <si>
    <t xml:space="preserve">MAG promises freedom.
They bomb checkpoints. They bury their dead in unmarked steppes.
The state calls them terrorists. The poor call them family.</t>
  </si>
  <si>
    <t xml:space="preserve">assets/voice/Narrator/Generated Audio October 07, 2026 - 11_39PM(3).wav</t>
  </si>
  <si>
    <t xml:space="preserve">src/cutscenes/engine.py:726</t>
  </si>
  <si>
    <t xml:space="preserve">VO_021</t>
  </si>
  <si>
    <t xml:space="preserve">And then there is KRAP.
Koaliția Regională de Apărare Și Pace.
Peacekeepers, they call themselves.</t>
  </si>
  <si>
    <t xml:space="preserve">assets/voice/Narrator/Generated Audio October 07, 2026 - 11_40PM.wav</t>
  </si>
  <si>
    <t xml:space="preserve">src/cutscenes/engine.py:732</t>
  </si>
  <si>
    <t xml:space="preserve">VO_022</t>
  </si>
  <si>
    <t xml:space="preserve">They keep the highways open.
They keep the oil moving.
They keep the questions unasked.</t>
  </si>
  <si>
    <t xml:space="preserve">assets/voice/Narrator/Generated Audio October 07, 2026 - 11_40PM(1).wav</t>
  </si>
  <si>
    <t xml:space="preserve">src/cutscenes/engine.py:738</t>
  </si>
  <si>
    <t xml:space="preserve">VO_023</t>
  </si>
  <si>
    <t xml:space="preserve">Today, one of their operators arrives.
He has been told this is a stabilization assignment.
He has not been told the truth.</t>
  </si>
  <si>
    <t xml:space="preserve">assets/voice/Narrator/Generated Audio October 07, 2026 - 11_41PM.wav</t>
  </si>
  <si>
    <t xml:space="preserve">src/cutscenes/engine.py:744</t>
  </si>
  <si>
    <t xml:space="preserve">VO_024</t>
  </si>
  <si>
    <t xml:space="preserve">The KRAP van cut east through the rain.
Inside, Captain Vasile finally opened the file.</t>
  </si>
  <si>
    <t xml:space="preserve">assets/voice/Narrator/Generated Audio October 07, 2026 - 11_41PM(1).wav</t>
  </si>
  <si>
    <t xml:space="preserve">src/cutscenes/engine.py:759</t>
  </si>
  <si>
    <t xml:space="preserve">VO_025</t>
  </si>
  <si>
    <t xml:space="preserve">CAPTAIN VASILE</t>
  </si>
  <si>
    <t xml:space="preserve">Welcome to Acaristan, Biribel.
Hope you enjoyed the scenery.</t>
  </si>
  <si>
    <t xml:space="preserve">assets/voice/Vasile/Generated Audio October 07, 2026 - 9_05PM.wav</t>
  </si>
  <si>
    <t xml:space="preserve">src/cutscenes/engine.py:765</t>
  </si>
  <si>
    <t xml:space="preserve">VO_026</t>
  </si>
  <si>
    <t xml:space="preserve">Sebastian Volkov. IPA affiliate.
We've been tracking him for six months.
Tonight he's making a handoff in the slum district.</t>
  </si>
  <si>
    <t xml:space="preserve">assets/voice/Vasile/Generated Audio October 07, 2026 - 9_05PM(1).wav</t>
  </si>
  <si>
    <t xml:space="preserve">src/cutscenes/engine.py:771</t>
  </si>
  <si>
    <t xml:space="preserve">VO_027</t>
  </si>
  <si>
    <t xml:space="preserve">Your job: get in, capture him alive, get out.
He knows names. We want those names.</t>
  </si>
  <si>
    <t xml:space="preserve">assets/voice/Vasile/Generated Audio October 07, 2026 - 9_06PM.wav</t>
  </si>
  <si>
    <t xml:space="preserve">src/cutscenes/engine.py:777</t>
  </si>
  <si>
    <t xml:space="preserve">VO_028</t>
  </si>
  <si>
    <t xml:space="preserve">And if he runs?</t>
  </si>
  <si>
    <t xml:space="preserve">assets/voice/Biribel/Generated Audio October 07, 2026 - 11_33PM.wav</t>
  </si>
  <si>
    <t xml:space="preserve">src/cutscenes/engine.py:783</t>
  </si>
  <si>
    <t xml:space="preserve">VO_029</t>
  </si>
  <si>
    <t xml:space="preserve">He won't get far.
But if he does, bring back anything he leaves behind.
Paper, drives, a notebook - anything.</t>
  </si>
  <si>
    <t xml:space="preserve">assets/voice/Vasile/Generated Audio October 07, 2026 - 9_06PM(1).wav</t>
  </si>
  <si>
    <t xml:space="preserve">src/cutscenes/engine.py:789</t>
  </si>
  <si>
    <t xml:space="preserve">VO_030</t>
  </si>
  <si>
    <t xml:space="preserve">Here. Standard sidearm.
Keep it holstered until you have no choice.</t>
  </si>
  <si>
    <t xml:space="preserve">assets/voice/Vasile/Generated Audio October 07, 2026 - 9_07PM.wav</t>
  </si>
  <si>
    <t xml:space="preserve">src/cutscenes/engine.py:795</t>
  </si>
  <si>
    <t xml:space="preserve">VO_031</t>
  </si>
  <si>
    <t xml:space="preserve">And take these: two molotovs.
Ugly tools, but they clear alleys fast.</t>
  </si>
  <si>
    <t xml:space="preserve">assets/voice/Vasile/Generated Audio October 07, 2026 - 9_07PM(1).wav</t>
  </si>
  <si>
    <t xml:space="preserve">src/cutscenes/engine.py:801</t>
  </si>
  <si>
    <t xml:space="preserve">VO_032</t>
  </si>
  <si>
    <t xml:space="preserve">Comms on channel 4. Don't die.
I hate paperwork.</t>
  </si>
  <si>
    <t xml:space="preserve">assets/voice/Vasile/Generated Audio October 07, 2026 - 9_07PM(2).wav</t>
  </si>
  <si>
    <t xml:space="preserve">src/cutscenes/engine.py:807</t>
  </si>
  <si>
    <t xml:space="preserve">VO_033</t>
  </si>
  <si>
    <t xml:space="preserve">Volkov's file mentions Route 12 before the attack was reported.</t>
  </si>
  <si>
    <t xml:space="preserve">assets/voice/Vasile/Generated Audio October 07, 2026 - 9_08PM.wav</t>
  </si>
  <si>
    <t xml:space="preserve">src/missions/m2/meta.py:61</t>
  </si>
  <si>
    <t xml:space="preserve">VO_034</t>
  </si>
  <si>
    <t xml:space="preserve">Checkpoint 12 was marked unstable before the first bomb went off.</t>
  </si>
  <si>
    <t xml:space="preserve">assets/voice/Vasile/Generated Audio October 07, 2026 - 9_08PM(1).wav</t>
  </si>
  <si>
    <t xml:space="preserve">src/missions/m2/meta.py:67</t>
  </si>
  <si>
    <t xml:space="preserve">VO_035</t>
  </si>
  <si>
    <t xml:space="preserve">Official line says MAG bombing. The timestamps say otherwise.</t>
  </si>
  <si>
    <t xml:space="preserve">assets/voice/Vasile/Generated Audio October 07, 2026 - 9_09PM.wav</t>
  </si>
  <si>
    <t xml:space="preserve">src/missions/m2/meta.py:75</t>
  </si>
  <si>
    <t xml:space="preserve">VO_036</t>
  </si>
  <si>
    <t xml:space="preserve">We go in quiet. We verify the scene. We do not repeat their lie.</t>
  </si>
  <si>
    <t xml:space="preserve">assets/voice/Vasile/Generated Audio October 07, 2026 - 9_09PM(1).wav</t>
  </si>
  <si>
    <t xml:space="preserve">src/missions/m2/meta.py:82</t>
  </si>
  <si>
    <t xml:space="preserve">VO_037</t>
  </si>
  <si>
    <t xml:space="preserve">Biribel... tell me you got out.</t>
  </si>
  <si>
    <t xml:space="preserve">assets/voice/Vasile/Generated Audio October 07, 2026 - 9_09PM(2).wav</t>
  </si>
  <si>
    <t xml:space="preserve">src/missions/m2/meta.py:115</t>
  </si>
  <si>
    <t xml:space="preserve">VO_038</t>
  </si>
  <si>
    <t xml:space="preserve">They framed KRAP.</t>
  </si>
  <si>
    <t xml:space="preserve">assets/voice/Biribel/Generated Audio October 07, 2026 - 11_34PM.wav</t>
  </si>
  <si>
    <t xml:space="preserve">src/missions/m2/meta.py:122</t>
  </si>
  <si>
    <t xml:space="preserve">VO_039</t>
  </si>
  <si>
    <t xml:space="preserve">No. They framed you first.</t>
  </si>
  <si>
    <t xml:space="preserve">assets/voice/Vasile/Generated Audio October 07, 2026 - 9_09PM(3).wav</t>
  </si>
  <si>
    <t xml:space="preserve">src/missions/m2/meta.py:128</t>
  </si>
  <si>
    <t xml:space="preserve">VO_040</t>
  </si>
  <si>
    <t xml:space="preserve">Biribel? ...Biribel?!</t>
  </si>
  <si>
    <t xml:space="preserve">assets/voice/Vasile/Generated Audio October 07, 2026 - 9_10PM.wav</t>
  </si>
  <si>
    <t xml:space="preserve">src/missions/m2/meta.py:159</t>
  </si>
  <si>
    <t xml:space="preserve">VO_041</t>
  </si>
  <si>
    <t xml:space="preserve">No MAG banners. No claim. Just a scene waiting for us.</t>
  </si>
  <si>
    <t xml:space="preserve">assets/voice/Gabi/Generated Audio October 07, 2026 - 11_45PM(1).wav</t>
  </si>
  <si>
    <t xml:space="preserve">src/missions/m2/meta.py:202</t>
  </si>
  <si>
    <t xml:space="preserve">VO_042</t>
  </si>
  <si>
    <t xml:space="preserve">Stop. Everybody down.</t>
  </si>
  <si>
    <t xml:space="preserve">assets/voice/Vasile/Generated Audio October 07, 2026 - 9_11PM.wav</t>
  </si>
  <si>
    <t xml:space="preserve">src/missions/m2/meta.py:203</t>
  </si>
  <si>
    <t xml:space="preserve">VO_043</t>
  </si>
  <si>
    <t xml:space="preserve">Sniper! Highway sign!</t>
  </si>
  <si>
    <t xml:space="preserve">assets/voice/Seby/Generated Audio October 07, 2026 - 11_44PM.wav</t>
  </si>
  <si>
    <t xml:space="preserve">src/missions/m2/meta.py:204</t>
  </si>
  <si>
    <t xml:space="preserve">VO_044</t>
  </si>
  <si>
    <t xml:space="preserve">That is IPA fire discipline. Biribel, survive the kill-box.</t>
  </si>
  <si>
    <t xml:space="preserve">assets/voice/Vasile/Generated Audio October 07, 2026 - 9_11PM(1).wav</t>
  </si>
  <si>
    <t xml:space="preserve">src/missions/m2/meta.py:205</t>
  </si>
  <si>
    <t xml:space="preserve">VO_045</t>
  </si>
  <si>
    <t xml:space="preserve">Come on... break.</t>
  </si>
  <si>
    <t xml:space="preserve">assets/voice/Biribel/Generated Audio October 07, 2026 - 11_34PM(1).wav</t>
  </si>
  <si>
    <t xml:space="preserve">src/missions/m3/flow.py:142</t>
  </si>
  <si>
    <t xml:space="preserve">VO_046</t>
  </si>
  <si>
    <t xml:space="preserve">Finally.</t>
  </si>
  <si>
    <t xml:space="preserve">assets/voice/Biribel/Generated Audio October 07, 2026 - 11_34PM(2).wav</t>
  </si>
  <si>
    <t xml:space="preserve">src/missions/m3/flow.py:154</t>
  </si>
  <si>
    <t xml:space="preserve">VO_047</t>
  </si>
  <si>
    <t xml:space="preserve">Volkov was right. I owe him one.</t>
  </si>
  <si>
    <t xml:space="preserve">assets/voice/Biribel/Generated Audio October 07, 2026 - 11_34PM(3).wav</t>
  </si>
  <si>
    <t xml:space="preserve">src/missions/m3/flow.py:160</t>
  </si>
  <si>
    <t xml:space="preserve">VO_048</t>
  </si>
  <si>
    <t xml:space="preserve">Three days. Maybe four.
Hard to count with the lights.</t>
  </si>
  <si>
    <t xml:space="preserve">assets/voice/Biribel/Generated Audio October 07, 2026 - 11_34PM(4).wav</t>
  </si>
  <si>
    <t xml:space="preserve">src/missions/m3/meta.py:85</t>
  </si>
  <si>
    <t xml:space="preserve">VO_049</t>
  </si>
  <si>
    <t xml:space="preserve">Wrists raw. Chair bolted down.
They were ready for me before I woke up.</t>
  </si>
  <si>
    <t xml:space="preserve">assets/voice/Biribel/Generated Audio October 07, 2026 - 11_34PM(5).wav</t>
  </si>
  <si>
    <t xml:space="preserve">src/missions/m3/meta.py:92</t>
  </si>
  <si>
    <t xml:space="preserve">VO_050</t>
  </si>
  <si>
    <t xml:space="preserve">Twenty-two hundred. He's already talking.</t>
  </si>
  <si>
    <t xml:space="preserve">assets/voice/Biribel/Generated Audio October 07, 2026 - 11_34PM(6).wav</t>
  </si>
  <si>
    <t xml:space="preserve">src/missions/m3/meta.py:133</t>
  </si>
  <si>
    <t xml:space="preserve">VO_051</t>
  </si>
  <si>
    <t xml:space="preserve">By 22:07, every screen in Acaristan was reading the Vostral.</t>
  </si>
  <si>
    <t xml:space="preserve">assets/voice/Narrator/Generated Audio October 07, 2026 - 11_42PM.wav</t>
  </si>
  <si>
    <t xml:space="preserve">src/missions/m3/meta.py:147</t>
  </si>
  <si>
    <t xml:space="preserve">VO_053</t>
  </si>
  <si>
    <t xml:space="preserve">He spent six years trying to kill a rumor. Now it's a record.</t>
  </si>
  <si>
    <t xml:space="preserve">assets/voice/Biribel/Generated Audio October 07, 2026 - 11_34PM(7).wav</t>
  </si>
  <si>
    <t xml:space="preserve">src/missions/m3/meta.py:161</t>
  </si>
  <si>
    <t xml:space="preserve">VO_054</t>
  </si>
  <si>
    <t xml:space="preserve">The kitchen... bypass the corridor guards. Time to move.</t>
  </si>
  <si>
    <t xml:space="preserve">assets/voice/Biribel/Generated Audio October 07, 2026 - 11_35PM.wav</t>
  </si>
  <si>
    <t xml:space="preserve">src/missions/m3/meta.py:212</t>
  </si>
  <si>
    <t xml:space="preserve">VO_056</t>
  </si>
  <si>
    <t xml:space="preserve">Biribel? If you hear me, get to the relay. I can see your signal now.</t>
  </si>
  <si>
    <t xml:space="preserve">assets/voice/Vasile/Generated Audio October 07, 2026 - 9_13PM.wav</t>
  </si>
  <si>
    <t xml:space="preserve">src/missions/m3/meta.py:233</t>
  </si>
  <si>
    <t xml:space="preserve">VO_059</t>
  </si>
  <si>
    <t xml:space="preserve">Contacts ahead. Maru's dead drop is northwest. Clear a path.</t>
  </si>
  <si>
    <t xml:space="preserve">assets/voice/Vasile/Generated Audio October 07, 2026 - 9_14PM.wav</t>
  </si>
  <si>
    <t xml:space="preserve">src/missions/m3/meta.py:253</t>
  </si>
  <si>
    <t xml:space="preserve">VO_061</t>
  </si>
  <si>
    <t xml:space="preserve">The loading dock is your only way out, Volkov's van is staged there. Hold it, and the Vostral goes live tonight.</t>
  </si>
  <si>
    <t xml:space="preserve">assets/voice/Vasile/Generated Audio October 07, 2026 - 9_14PM(1).wav</t>
  </si>
  <si>
    <t xml:space="preserve">src/missions/m3/meta.py:270</t>
  </si>
  <si>
    <t xml:space="preserve">VO_062</t>
  </si>
  <si>
    <t xml:space="preserve">You're out. Broadcast wing, follow the cable runs. I need you in front of a camera before that address ends.</t>
  </si>
  <si>
    <t xml:space="preserve">assets/voice/Vasile/Generated Audio October 07, 2026 - 9_14PM(2).wav</t>
  </si>
  <si>
    <t xml:space="preserve">src/missions/m3/meta.py:285</t>
  </si>
  <si>
    <t xml:space="preserve">VO_063</t>
  </si>
  <si>
    <t xml:space="preserve">Studio door. Two ways to do this, live on his camera, or quiet through my channel. Your call, operator.</t>
  </si>
  <si>
    <t xml:space="preserve">assets/voice/Vasile/Generated Audio October 07, 2026 - 9_15PM.wav</t>
  </si>
  <si>
    <t xml:space="preserve">src/missions/m3/meta.py:291</t>
  </si>
  <si>
    <t xml:space="preserve">VO_064</t>
  </si>
  <si>
    <t xml:space="preserve">The Vostral. The record they buried.</t>
  </si>
  <si>
    <t xml:space="preserve">assets/voice/Biribel/Generated Audio October 07, 2026 - 11_35PM(1).wav</t>
  </si>
  <si>
    <t xml:space="preserve">src/missions/m3/meta.py:302</t>
  </si>
  <si>
    <t xml:space="preserve">VO_065</t>
  </si>
  <si>
    <t xml:space="preserve">Confirmed. North stairwell, move before they burn the wing.</t>
  </si>
  <si>
    <t xml:space="preserve">assets/voice/Vasile/Generated Audio October 07, 2026 - 9_16PM.wav</t>
  </si>
  <si>
    <t xml:space="preserve">src/missions/m3/meta.py:305</t>
  </si>
  <si>
    <t xml:space="preserve">VO_066</t>
  </si>
  <si>
    <t xml:space="preserve">He wants me on camera. The Vostral, by my face, tonight. Fine. He'll get his close up.</t>
  </si>
  <si>
    <t xml:space="preserve">assets/voice/Biribel/Generated Audio October 07, 2026 - 11_35PM(2).wav</t>
  </si>
  <si>
    <t xml:space="preserve">src/missions/m3/meta.py:353</t>
  </si>
  <si>
    <t xml:space="preserve">VO_067</t>
  </si>
  <si>
    <t xml:space="preserve">Then say it to my face, coward. Not through a screen.</t>
  </si>
  <si>
    <t xml:space="preserve">assets/voice/Biribel/Generated Audio October 07, 2026 - 11_35PM(3).wav</t>
  </si>
  <si>
    <t xml:space="preserve">src/missions/m3/meta.py:373</t>
  </si>
  <si>
    <t xml:space="preserve">VO_068</t>
  </si>
  <si>
    <t xml:space="preserve">The Vostral's a rumor because you burned the only copy. So where is it?</t>
  </si>
  <si>
    <t xml:space="preserve">assets/voice/Biribel/Generated Audio October 07, 2026 - 11_35PM(4).wav</t>
  </si>
  <si>
    <t xml:space="preserve">VO_069</t>
  </si>
  <si>
    <t xml:space="preserve">If the file exists, it's in this building. I've broken out of better.</t>
  </si>
  <si>
    <t xml:space="preserve">assets/voice/Biribel/Generated Audio October 07, 2026 - 11_35PM(5).wav</t>
  </si>
  <si>
    <t xml:space="preserve">src/missions/m3/meta.py:395</t>
  </si>
  <si>
    <t xml:space="preserve">VO_070</t>
  </si>
  <si>
    <t xml:space="preserve">Vasile's dead air. Gabi, Seby, Darius, all dead. No one is coming.</t>
  </si>
  <si>
    <t xml:space="preserve">assets/voice/Biribel/Generated Audio October 07, 2026 - 11_35PM(6).wav</t>
  </si>
  <si>
    <t xml:space="preserve">MARU (reply)</t>
  </si>
  <si>
    <t xml:space="preserve">VO_078</t>
  </si>
  <si>
    <t xml:space="preserve">Forty-eight hours after the Vostral, the address is still
reading on every screen in the capital.</t>
  </si>
  <si>
    <t xml:space="preserve">assets/voice/Narrator/Generated Audio October 07, 2026 - 11_42PM(1).wav</t>
  </si>
  <si>
    <t xml:space="preserve">src/missions/m4/meta.py:118</t>
  </si>
  <si>
    <t xml:space="preserve">VO_079</t>
  </si>
  <si>
    <t xml:space="preserve">And this is what it bought us. A curfew nobody can enforce
and a regime that shoots its own order.</t>
  </si>
  <si>
    <t xml:space="preserve">assets/voice/Vasile/Generated Audio October 07, 2026 - 9_16PM(1).wav</t>
  </si>
  <si>
    <t xml:space="preserve">src/missions/m4/meta.py:125</t>
  </si>
  <si>
    <t xml:space="preserve">VO_080</t>
  </si>
  <si>
    <t xml:space="preserve">It's done. He's in a cell by his own guard's hands.</t>
  </si>
  <si>
    <t xml:space="preserve">assets/voice/Vasile/Generated Audio October 07, 2026 - 9_16PM(2).wav</t>
  </si>
  <si>
    <t xml:space="preserve">src/missions/m4/meta.py:145</t>
  </si>
  <si>
    <t xml:space="preserve">VO_082</t>
  </si>
  <si>
    <t xml:space="preserve">Nobody asked us to do this. First time in my life -
that's how it's done right.</t>
  </si>
  <si>
    <t xml:space="preserve">assets/voice/Biribel/Generated Audio October 07, 2026 - 11_35PM(7).wav</t>
  </si>
  <si>
    <t xml:space="preserve">src/missions/m4/meta.py:171</t>
  </si>
  <si>
    <t xml:space="preserve">VO_083</t>
  </si>
  <si>
    <t xml:space="preserve">There's a border that doesn't care about my name.
I'm not taking it. Not yet.</t>
  </si>
  <si>
    <t xml:space="preserve">assets/voice/Biribel/Generated Audio October 07, 2026 - 11_36PM.wav</t>
  </si>
  <si>
    <t xml:space="preserve">src/missions/m4/meta.py:181</t>
  </si>
  <si>
    <t xml:space="preserve">VO_084</t>
  </si>
  <si>
    <t xml:space="preserve">…Some of this was already in our files.</t>
  </si>
  <si>
    <t xml:space="preserve">assets/voice/Vasile/Generated Audio October 07, 2026 - 9_17PM.wav</t>
  </si>
  <si>
    <t xml:space="preserve">src/core/interactions.py:164</t>
  </si>
  <si>
    <t xml:space="preserve">VO_085</t>
  </si>
  <si>
    <t xml:space="preserve">Biribel, they spotted you! Alarm is active!</t>
  </si>
  <si>
    <t xml:space="preserve">assets/voice/Vasile/Generated Audio October 07, 2026 - 9_17PM(1).wav</t>
  </si>
  <si>
    <t xml:space="preserve">src/core/interactions.py:326</t>
  </si>
  <si>
    <t xml:space="preserve">VO_086</t>
  </si>
  <si>
    <t xml:space="preserve">They blocked the stairs! Hotwire the delivery truck!</t>
  </si>
  <si>
    <t xml:space="preserve">assets/voice/Vasile/Generated Audio October 07, 2026 - 9_17PM(2).wav</t>
  </si>
  <si>
    <t xml:space="preserve">src/core/interactions.py:371</t>
  </si>
  <si>
    <t xml:space="preserve">VO_087</t>
  </si>
  <si>
    <t xml:space="preserve">Where'd you get the plate? Keep it on.</t>
  </si>
  <si>
    <t xml:space="preserve">assets/voice/Vasile/Generated Audio October 07, 2026 - 9_17PM(3).wav</t>
  </si>
  <si>
    <t xml:space="preserve">src/missions/m1/main.py:303</t>
  </si>
  <si>
    <t xml:space="preserve">VO_088</t>
  </si>
  <si>
    <t xml:space="preserve">If that civilian was right, the code's already in your head.</t>
  </si>
  <si>
    <t xml:space="preserve">assets/voice/Vasile/Generated Audio October 07, 2026 - 9_17PM(4).wav</t>
  </si>
  <si>
    <t xml:space="preserve">src/missions/m1/main.py:307</t>
  </si>
  <si>
    <t xml:space="preserve">VO_089</t>
  </si>
  <si>
    <t xml:space="preserve">No local help. Search the desks.</t>
  </si>
  <si>
    <t xml:space="preserve">assets/voice/Vasile/Generated Audio October 07, 2026 - 9_18PM.wav</t>
  </si>
  <si>
    <t xml:space="preserve">src/missions/m1/main.py:310</t>
  </si>
  <si>
    <t xml:space="preserve">VO_090</t>
  </si>
  <si>
    <t xml:space="preserve">Gate is open. Signatures ahead, watch the corners.</t>
  </si>
  <si>
    <t xml:space="preserve">assets/voice/Vasile/Generated Audio October 07, 2026 - 9_18PM(1).wav</t>
  </si>
  <si>
    <t xml:space="preserve">src/missions/m1/update.py:116</t>
  </si>
  <si>
    <t xml:space="preserve">VO_091</t>
  </si>
  <si>
    <t xml:space="preserve">Safe is locked. Look for notes on desks for the code.</t>
  </si>
  <si>
    <t xml:space="preserve">assets/voice/Vasile/Generated Audio October 07, 2026 - 9_18PM(2).wav</t>
  </si>
  <si>
    <t xml:space="preserve">src/missions/m1/update.py:128</t>
  </si>
  <si>
    <t xml:space="preserve">VO_092</t>
  </si>
  <si>
    <t xml:space="preserve">BRACE! They're breaching the bay doors!</t>
  </si>
  <si>
    <t xml:space="preserve">assets/voice/Vasile/Generated Audio October 07, 2026 - 9_18PM(3).wav</t>
  </si>
  <si>
    <t xml:space="preserve">src/missions/m1/update.py:143</t>
  </si>
  <si>
    <t xml:space="preserve">VO_093</t>
  </si>
  <si>
    <t xml:space="preserve">They're coming from both sides! Get to the truck NOW!</t>
  </si>
  <si>
    <t xml:space="preserve">assets/voice/Vasile/Generated Audio October 07, 2026 - 9_19PM.wav</t>
  </si>
  <si>
    <t xml:space="preserve">src/missions/m1/update.py:285</t>
  </si>
  <si>
    <t xml:space="preserve">VO_094</t>
  </si>
  <si>
    <t xml:space="preserve">Volkov escaped! Get that notebook and get out.</t>
  </si>
  <si>
    <t xml:space="preserve">assets/voice/Vasile/Generated Audio October 07, 2026 - 9_19PM(1).wav</t>
  </si>
  <si>
    <t xml:space="preserve">src/missions/m1/update.py:314</t>
  </si>
  <si>
    <t xml:space="preserve">VO_095</t>
  </si>
  <si>
    <t xml:space="preserve">Not yet. Clear the yard before you put your head under that dash.</t>
  </si>
  <si>
    <t xml:space="preserve">assets/voice/Vasile/Generated Audio October 07, 2026 - 9_20PM.wav</t>
  </si>
  <si>
    <t xml:space="preserve">src/missions/m1/update.py:398</t>
  </si>
  <si>
    <t xml:space="preserve">VO_096</t>
  </si>
  <si>
    <t xml:space="preserve">Open the panel. Red feeds yellow. Blue wakes green. Black bites white.</t>
  </si>
  <si>
    <t xml:space="preserve">assets/voice/Vasile/Generated Audio October 07, 2026 - 9_20PM(1).wav</t>
  </si>
  <si>
    <t xml:space="preserve">src/missions/m1/update.py:408</t>
  </si>
  <si>
    <t xml:space="preserve">VO_097</t>
  </si>
  <si>
    <t xml:space="preserve">Sniper bugged out. Nest is empty.</t>
  </si>
  <si>
    <t xml:space="preserve">assets/voice/Vasile/Generated Audio October 07, 2026 - 9_20PM(2).wav</t>
  </si>
  <si>
    <t xml:space="preserve">VO_098</t>
  </si>
  <si>
    <t xml:space="preserve">Sniper is relocating. Clear the cleanup team.</t>
  </si>
  <si>
    <t xml:space="preserve">assets/voice/Vasile/Generated Audio October 07, 2026 - 9_20PM(3).wav</t>
  </si>
  <si>
    <t xml:space="preserve">src/missions/m2/sniper.py:586</t>
  </si>
  <si>
    <t xml:space="preserve">VO_099</t>
  </si>
  <si>
    <t xml:space="preserve">Concrete blocks! Left side! Move now!</t>
  </si>
  <si>
    <t xml:space="preserve">assets/voice/Vasile/Generated Audio October 07, 2026 - 9_21PM.wav</t>
  </si>
  <si>
    <t xml:space="preserve">src/missions/m2/sniper.py:731</t>
  </si>
  <si>
    <t xml:space="preserve">VO_100</t>
  </si>
  <si>
    <t xml:space="preserve">Hold there. Watch the glint. Move only between shots.</t>
  </si>
  <si>
    <t xml:space="preserve">assets/voice/Vasile/Generated Audio October 07, 2026 - 9_21PM(1).wav</t>
  </si>
  <si>
    <t xml:space="preserve">src/missions/m2/sniper.py:736</t>
  </si>
  <si>
    <t xml:space="preserve">VO_101</t>
  </si>
  <si>
    <t xml:space="preserve">They saw you stop! Contacts moving in from both flanks!</t>
  </si>
  <si>
    <t xml:space="preserve">assets/voice/Vasile/Generated Audio October 07, 2026 - 9_21PM(2).wav</t>
  </si>
  <si>
    <t xml:space="preserve">src/missions/m2/sniper.py:745</t>
  </si>
  <si>
    <t xml:space="preserve">VO_102</t>
  </si>
  <si>
    <t xml:space="preserve">Biribel - the tanker manifest - it lists a second cargo...</t>
  </si>
  <si>
    <t xml:space="preserve">assets/voice/Vasile/Generated Audio October 07, 2026 - 9_22PM.wav</t>
  </si>
  <si>
    <t xml:space="preserve">src/missions/m2/sniper.py:769</t>
  </si>
  <si>
    <t xml:space="preserve">VO_103</t>
  </si>
  <si>
    <t xml:space="preserve">They're falling back to regroup. Push through - the truck is ahead.</t>
  </si>
  <si>
    <t xml:space="preserve">assets/voice/Vasile/Generated Audio October 07, 2026 - 9_22PM(1).wav</t>
  </si>
  <si>
    <t xml:space="preserve">src/missions/m2/sniper.py:781</t>
  </si>
  <si>
    <t xml:space="preserve">VO_104</t>
  </si>
  <si>
    <t xml:space="preserve">Center lane is death. Flank through the ditch or service road.</t>
  </si>
  <si>
    <t xml:space="preserve">assets/voice/Vasile/Generated Audio October 07, 2026 - 9_22PM(2).wav</t>
  </si>
  <si>
    <t xml:space="preserve">src/missions/m2/sniper.py:795</t>
  </si>
  <si>
    <t xml:space="preserve">VO_105</t>
  </si>
  <si>
    <t xml:space="preserve">Cleanup squad's between you and the truck. Drop them.</t>
  </si>
  <si>
    <t xml:space="preserve">assets/voice/Vasile/Generated Audio October 07, 2026 - 9_22PM(3).wav</t>
  </si>
  <si>
    <t xml:space="preserve">src/missions/m2/sniper.py:871</t>
  </si>
  <si>
    <t xml:space="preserve">VO_106</t>
  </si>
  <si>
    <t xml:space="preserve">Form up at the barrier. Eyes up.</t>
  </si>
  <si>
    <t xml:space="preserve">assets/voice/Vasile/Generated Audio October 07, 2026 - 9_22PM(4).wav</t>
  </si>
  <si>
    <t xml:space="preserve">src/missions/m2/sniper.py:990</t>
  </si>
  <si>
    <t xml:space="preserve">VO_107</t>
  </si>
  <si>
    <t xml:space="preserve">Nobody likes this lane.</t>
  </si>
  <si>
    <t xml:space="preserve">assets/voice/Gabi/Generated Audio October 07, 2026 - 11_45PM(2).wav</t>
  </si>
  <si>
    <t xml:space="preserve">src/missions/m2/sniper.py:1010</t>
  </si>
  <si>
    <t xml:space="preserve">VO_108</t>
  </si>
  <si>
    <t xml:space="preserve">West side's clear. Just burned-out cars.</t>
  </si>
  <si>
    <t xml:space="preserve">assets/voice/Seby/Generated Audio October 07, 2026 - 11_44PM(1).wav</t>
  </si>
  <si>
    <t xml:space="preserve">src/missions/m2/sniper.py:1012</t>
  </si>
  <si>
    <t xml:space="preserve">VO_109</t>
  </si>
  <si>
    <t xml:space="preserve">Biribel - stay back. Gabi is gone.</t>
  </si>
  <si>
    <t xml:space="preserve">assets/voice/Vasile/Generated Audio October 07, 2026 - 9_23PM.wav</t>
  </si>
  <si>
    <t xml:space="preserve">src/missions/m2/sniper.py:1020</t>
  </si>
  <si>
    <t xml:space="preserve">VO_110</t>
  </si>
  <si>
    <t xml:space="preserve">Vasile, I have-</t>
  </si>
  <si>
    <t xml:space="preserve">assets/voice/Gabi/Generated Audio October 07, 2026 - 11_46PM.wav</t>
  </si>
  <si>
    <t xml:space="preserve">src/missions/m2/sniper.py:1023</t>
  </si>
  <si>
    <t xml:space="preserve">VO_111</t>
  </si>
  <si>
    <t xml:space="preserve">Everybody DOWN. Do not move.</t>
  </si>
  <si>
    <t xml:space="preserve">assets/voice/Vasile/Generated Audio October 07, 2026 - 9_23PM(1).wav</t>
  </si>
  <si>
    <t xml:space="preserve">src/missions/m2/sniper.py:1026</t>
  </si>
  <si>
    <t xml:space="preserve">VO_112</t>
  </si>
  <si>
    <t xml:space="preserve">GABI! NO!</t>
  </si>
  <si>
    <t xml:space="preserve">assets/voice/Seby/Generated Audio October 07, 2026 - 11_44PM(2).wav</t>
  </si>
  <si>
    <t xml:space="preserve">src/missions/m2/sniper.py:1040</t>
  </si>
  <si>
    <t xml:space="preserve">VO_113</t>
  </si>
  <si>
    <t xml:space="preserve">Seby - stay low - do NOT go out there.</t>
  </si>
  <si>
    <t xml:space="preserve">assets/voice/Vasile/Generated Audio October 07, 2026 - 9_23PM(2).wav</t>
  </si>
  <si>
    <t xml:space="preserve">src/missions/m2/sniper.py:1067</t>
  </si>
  <si>
    <t xml:space="preserve">VO_114</t>
  </si>
  <si>
    <t xml:space="preserve">Biribel. Stay behind the barrier. Do not look up.</t>
  </si>
  <si>
    <t xml:space="preserve">assets/voice/Vasile/Generated Audio October 07, 2026 - 9_25PM.wav</t>
  </si>
  <si>
    <t xml:space="preserve">src/missions/m2/sniper.py:1070</t>
  </si>
  <si>
    <t xml:space="preserve">VO_115</t>
  </si>
  <si>
    <t xml:space="preserve">Hold on - I got you - I GOT YOU-</t>
  </si>
  <si>
    <t xml:space="preserve">assets/voice/Seby/Generated Audio October 07, 2026 - 11_45PM.wav</t>
  </si>
  <si>
    <t xml:space="preserve">src/missions/m2/sniper.py:1073</t>
  </si>
  <si>
    <t xml:space="preserve">VO_116</t>
  </si>
  <si>
    <t xml:space="preserve">Mayday, mayday, this is-</t>
  </si>
  <si>
    <t xml:space="preserve">assets/voice/Darius/Generated Audio October 07, 2026 - 11_48PM.wav</t>
  </si>
  <si>
    <t xml:space="preserve">src/missions/m2/sniper.py:1079</t>
  </si>
  <si>
    <t xml:space="preserve">VO_117</t>
  </si>
  <si>
    <t xml:space="preserve">Biribel - MOVE!</t>
  </si>
  <si>
    <t xml:space="preserve">assets/voice/Vasile/Generated Audio October 07, 2026 - 9_25PM(2).wav</t>
  </si>
  <si>
    <t xml:space="preserve">src/missions/m2/sniper.py:1102</t>
  </si>
  <si>
    <t xml:space="preserve">VO_118</t>
  </si>
  <si>
    <t xml:space="preserve">IPA rifles from the gantry. Not MAG. Clear the lanes.</t>
  </si>
  <si>
    <t xml:space="preserve">assets/voice/Vasile/Generated Audio October 07, 2026 - 9_26PM.wav</t>
  </si>
  <si>
    <t xml:space="preserve">src/missions/m2/sniper.py:1255</t>
  </si>
  <si>
    <t xml:space="preserve">VO_119</t>
  </si>
  <si>
    <t xml:space="preserve">Seven seconds - GO! Blue marker - south - MOVE!</t>
  </si>
  <si>
    <t xml:space="preserve">assets/voice/Vasile/Generated Audio October 07, 2026 - 9_26PM(1).wav</t>
  </si>
  <si>
    <t xml:space="preserve">src/missions/m2/sniper.py:1525</t>
  </si>
  <si>
    <t xml:space="preserve">VO_120</t>
  </si>
  <si>
    <t xml:space="preserve">Start with the obvious lie. Inspect the staged evidence.</t>
  </si>
  <si>
    <t xml:space="preserve">assets/voice/Vasile/Generated Audio October 07, 2026 - 9_26PM(2).wav</t>
  </si>
  <si>
    <t xml:space="preserve">src/missions/m2/starts.py:201</t>
  </si>
  <si>
    <t xml:space="preserve">VO_121</t>
  </si>
  <si>
    <t xml:space="preserve">You made it. Control building - move. The evidence is inside.</t>
  </si>
  <si>
    <t xml:space="preserve">assets/voice/Vasile/Generated Audio October 07, 2026 - 9_26PM(3).wav</t>
  </si>
  <si>
    <t xml:space="preserve">src/missions/m2/starts.py:419</t>
  </si>
  <si>
    <t xml:space="preserve">VO_122</t>
  </si>
  <si>
    <t xml:space="preserve">Cleanup team's down. Grab the evidence - three terminals, then upload.</t>
  </si>
  <si>
    <t xml:space="preserve">assets/voice/Vasile/Generated Audio October 07, 2026 - 9_26PM(4).wav</t>
  </si>
  <si>
    <t xml:space="preserve">src/missions/m2/starts.py:551</t>
  </si>
  <si>
    <t xml:space="preserve">VO_123</t>
  </si>
  <si>
    <t xml:space="preserve">Range marks, timing relay, clean boots... this scene is a trap.</t>
  </si>
  <si>
    <t xml:space="preserve">assets/voice/Vasile/Generated Audio October 07, 2026 - 9_26PM(5).wav</t>
  </si>
  <si>
    <t xml:space="preserve">src/missions/m2/update.py:183</t>
  </si>
  <si>
    <t xml:space="preserve">VO_124</t>
  </si>
  <si>
    <t xml:space="preserve">No MAG soldiers. Find out why that IPA truck is here.</t>
  </si>
  <si>
    <t xml:space="preserve">assets/voice/Vasile/Generated Audio October 07, 2026 - 9_27PM.wav</t>
  </si>
  <si>
    <t xml:space="preserve">src/missions/m2/update.py:211</t>
  </si>
  <si>
    <t xml:space="preserve">VO_125</t>
  </si>
  <si>
    <t xml:space="preserve">Hurry. They're triangulating.</t>
  </si>
  <si>
    <t xml:space="preserve">assets/voice/Vasile/Generated Audio October 07, 2026 - 9_27PM(1).wav</t>
  </si>
  <si>
    <t xml:space="preserve">src/missions/m2/update.py:1137</t>
  </si>
  <si>
    <t xml:space="preserve">VO_126</t>
  </si>
  <si>
    <t xml:space="preserve">Balaceanu logistics. Not MAG. Move to the tanker - slow. Confirm what we're dealing with.</t>
  </si>
  <si>
    <t xml:space="preserve">assets/voice/Vasile/Generated Audio October 07, 2026 - 9_28PM.wav</t>
  </si>
  <si>
    <t xml:space="preserve">src/missions/m2/world.py:378</t>
  </si>
  <si>
    <t xml:space="preserve">VO_127</t>
  </si>
  <si>
    <t xml:space="preserve">Biribel, get back! That's a remote-detonated cleanup charge - same frequency as the sniper. They're going to blow it!</t>
  </si>
  <si>
    <t xml:space="preserve">assets/voice/Vasile/Generated Audio October 07, 2026 - 9_28PM(1).wav</t>
  </si>
  <si>
    <t xml:space="preserve">src/missions/m2/world.py:381</t>
  </si>
  <si>
    <t xml:space="preserve">VO_128</t>
  </si>
  <si>
    <t xml:space="preserve">Power spike received. Now find a relay authorization key.</t>
  </si>
  <si>
    <t xml:space="preserve">assets/voice/Vasile/Generated Audio October 07, 2026 - 9_28PM(2).wav</t>
  </si>
  <si>
    <t xml:space="preserve">src/missions/m3/systems.py:3028</t>
  </si>
  <si>
    <t xml:space="preserve">VO_130</t>
  </si>
  <si>
    <t xml:space="preserve">Biribel. Confirmed. I have you. Archives access is east.</t>
  </si>
  <si>
    <t xml:space="preserve">assets/voice/Vasile/Generated Audio October 07, 2026 - 9_29PM.wav</t>
  </si>
  <si>
    <t xml:space="preserve">src/missions/m3/systems.py:3117</t>
  </si>
  <si>
    <t xml:space="preserve">VO_132</t>
  </si>
  <si>
    <t xml:space="preserve">Relay is dead down here. Restore battery backup, copy auth from Security, then tune the terminal.</t>
  </si>
  <si>
    <t xml:space="preserve">assets/voice/Vasile/Generated Audio October 07, 2026 - 9_31PM.wav</t>
  </si>
  <si>
    <t xml:space="preserve">src/missions/m3/flow.py:539; src/missions/m3/flow.py:1356</t>
  </si>
  <si>
    <t xml:space="preserve">VO_134</t>
  </si>
  <si>
    <t xml:space="preserve">Archives wing is live. Maru's dead-drop is northwest.</t>
  </si>
  <si>
    <t xml:space="preserve">assets/voice/Vasile/Generated Audio October 07, 2026 - 9_31PM(1).wav</t>
  </si>
  <si>
    <t xml:space="preserve">src/missions/m3/flow.py:629</t>
  </si>
  <si>
    <t xml:space="preserve">VO_136</t>
  </si>
  <si>
    <t xml:space="preserve">assets/voice/Vasile/Generated Audio October 07, 2026 - 9_31PM(2).wav</t>
  </si>
  <si>
    <t xml:space="preserve">VO_138</t>
  </si>
  <si>
    <t xml:space="preserve">Maru's dead-drop is in the northwest clerk office. Clear a path.</t>
  </si>
  <si>
    <t xml:space="preserve">assets/voice/Vasile/Generated Audio October 07, 2026 - 9_31PM(3).wav</t>
  </si>
  <si>
    <t xml:space="preserve">src/missions/m3/flow.py:1414</t>
  </si>
  <si>
    <t xml:space="preserve">VO_139</t>
  </si>
  <si>
    <t xml:space="preserve">Doors are live. Whatever you choose, fast. The address won't wait.</t>
  </si>
  <si>
    <t xml:space="preserve">assets/voice/Vasile/Generated Audio October 07, 2026 - 9_31PM(4).wav</t>
  </si>
  <si>
    <t xml:space="preserve">src/missions/m3/flow.py:1452</t>
  </si>
  <si>
    <t xml:space="preserve">VO_141</t>
  </si>
  <si>
    <t xml:space="preserve">Feed's back on your side. Clock is live again - move.</t>
  </si>
  <si>
    <t xml:space="preserve">assets/voice/Vasile/Generated Audio October 07, 2026 - 9_31PM(5).wav</t>
  </si>
  <si>
    <t xml:space="preserve">src/missions/m3/flow.py:1563</t>
  </si>
  <si>
    <t xml:space="preserve">VO_143</t>
  </si>
  <si>
    <t xml:space="preserve">Confirmed, Vostral is in your hands. North stairwell. Move.</t>
  </si>
  <si>
    <t xml:space="preserve">assets/voice/Vasile/Generated Audio October 07, 2026 - 9_31PM(6).wav</t>
  </si>
  <si>
    <t xml:space="preserve">src/missions/m3/flow.py:1875</t>
  </si>
  <si>
    <t xml:space="preserve">VO_146</t>
  </si>
  <si>
    <t xml:space="preserve">Balaceanu signed the kill order on state radio. Every disciplined team in that building is hunting you now, and he's listening. I'll keep their comms in your ear. Vasile out.</t>
  </si>
  <si>
    <t xml:space="preserve">assets/voice/Vasile/Generated Audio October 07, 2026 - 9_32PM.wav</t>
  </si>
  <si>
    <t xml:space="preserve">src/missions/m3/interrog.py:153</t>
  </si>
  <si>
    <t xml:space="preserve">VO_152</t>
  </si>
  <si>
    <t xml:space="preserve">Nest is dark. Their eyes are out - move while it lasts.</t>
  </si>
  <si>
    <t xml:space="preserve">assets/voice/Vasile/Generated Audio October 07, 2026 - 9_32PM(1).wav</t>
  </si>
  <si>
    <t xml:space="preserve">src/missions/m3/sweep.py:562</t>
  </si>
  <si>
    <t xml:space="preserve">VO_153</t>
  </si>
  <si>
    <t xml:space="preserve">Marksman up on that mezzanine - his red line means they have the lane zeroed. Keep your head down.</t>
  </si>
  <si>
    <t xml:space="preserve">assets/voice/Vasile/Generated Audio October 07, 2026 - 9_32PM(2).wav</t>
  </si>
  <si>
    <t xml:space="preserve">src/missions/m3/sweep.py:595</t>
  </si>
  <si>
    <t xml:space="preserve">VO_161</t>
  </si>
  <si>
    <t xml:space="preserve">assets/voice/Vasile/Generated Audio October 07, 2026 - 9_32PM(3).wav</t>
  </si>
  <si>
    <t xml:space="preserve">VO_162</t>
  </si>
  <si>
    <t xml:space="preserve">Duplicate of VO_129</t>
  </si>
  <si>
    <t xml:space="preserve">VO_163</t>
  </si>
  <si>
    <t xml:space="preserve">assets/voice/Vasile/Generated Audio October 07, 2026 - 9_32PM(4).wav</t>
  </si>
  <si>
    <t xml:space="preserve">VO_165</t>
  </si>
  <si>
    <t xml:space="preserve">Two days of curfew, the city's coming apart. Meet me at the cache.</t>
  </si>
  <si>
    <t xml:space="preserve">assets/voice/Vasile/Generated Audio October 07, 2026 - 9_32PM(5).wav</t>
  </si>
  <si>
    <t xml:space="preserve">src/missions/m4/flow.py:434</t>
  </si>
  <si>
    <t xml:space="preserve">VO_166</t>
  </si>
  <si>
    <t xml:space="preserve">Station's ours for now. Find Maru in the transmitter hall.</t>
  </si>
  <si>
    <t xml:space="preserve">assets/voice/Vasile/Generated Audio October 07, 2026 - 9_33PM.wav</t>
  </si>
  <si>
    <t xml:space="preserve">src/missions/m4/flow.py:458</t>
  </si>
  <si>
    <t xml:space="preserve">VO_167</t>
  </si>
  <si>
    <t xml:space="preserve">Door's clear. Maru's inside - watch the gallery.</t>
  </si>
  <si>
    <t xml:space="preserve">assets/voice/Vasile/Generated Audio October 07, 2026 - 9_33PM(1).wav</t>
  </si>
  <si>
    <t xml:space="preserve">src/missions/m4/flow.py:505</t>
  </si>
  <si>
    <t xml:space="preserve">VO_168</t>
  </si>
  <si>
    <t xml:space="preserve">That's the drop - the KRAP comms cache. Grab it (E).</t>
  </si>
  <si>
    <t xml:space="preserve">assets/voice/Vasile/Generated Audio October 07, 2026 - 9_33PM(2).wav</t>
  </si>
  <si>
    <t xml:space="preserve">src/missions/m4/flow.py:529</t>
  </si>
  <si>
    <t xml:space="preserve">VO_169</t>
  </si>
  <si>
    <t xml:space="preserve">That file reached every screen. Head east - hold the station.</t>
  </si>
  <si>
    <t xml:space="preserve">assets/voice/Vasile/Generated Audio October 07, 2026 - 9_33PM(3).wav</t>
  </si>
  <si>
    <t xml:space="preserve">src/missions/m4/flow.py:585; src/missions/m4/flow.py:532</t>
  </si>
  <si>
    <t xml:space="preserve">VO_170</t>
  </si>
  <si>
    <t xml:space="preserve">Not without the cache, Biribel. Grab it first.</t>
  </si>
  <si>
    <t xml:space="preserve">assets/voice/Vasile/Generated Audio October 07, 2026 - 9_33PM(4).wav</t>
  </si>
  <si>
    <t xml:space="preserve">src/missions/m4/flow.py:540</t>
  </si>
  <si>
    <t xml:space="preserve">VO_172</t>
  </si>
  <si>
    <t xml:space="preserve">assets/voice/Vasile/Generated Audio October 07, 2026 - 9_33PM(5).wav</t>
  </si>
  <si>
    <t xml:space="preserve">DO NOT RECORD TWICE</t>
  </si>
  <si>
    <t xml:space="preserve">Duplicate VO IDs and dialogue stored in code but not used in the current interaction.</t>
  </si>
  <si>
    <t xml:space="preserve">Speaker</t>
  </si>
  <si>
    <t xml:space="preserve">Text</t>
  </si>
  <si>
    <t xml:space="preserve">Reason</t>
  </si>
  <si>
    <t xml:space="preserve">Action / evidence</t>
  </si>
  <si>
    <t xml:space="preserve">Source</t>
  </si>
  <si>
    <t xml:space="preserve">Duplicate normalized text</t>
  </si>
  <si>
    <t xml:space="preserve">Runtime text lookup resolves to VO_006. Reuse that recording; no second take needed.</t>
  </si>
  <si>
    <t xml:space="preserve">src/audio/voice_manifest.py</t>
  </si>
  <si>
    <t xml:space="preserve">Runtime text lookup resolves to VO_129. Reuse that recording; no second take needed.</t>
  </si>
  <si>
    <t xml:space="preserve">—</t>
  </si>
  <si>
    <t xml:space="preserve">Wow, thank you! Here, I found this metal vest in the dumpster.
It looks like Kevlar. You should wear it.</t>
  </si>
  <si>
    <t xml:space="preserve">Stored but not played</t>
  </si>
  <si>
    <t xml:space="preserve">thanks[] is defined, but the Kevlar interaction displays a third-person equipment caption instead. Not a current spoken event.</t>
  </si>
  <si>
    <t xml:space="preserve">src/missions/walking_sim.py:228</t>
  </si>
  <si>
    <t xml:space="preserve">HOW TO USE THIS WORKBOOK</t>
  </si>
  <si>
    <t xml:space="preserve">Recording gaps, chronology, and evidence limits</t>
  </si>
  <si>
    <t xml:space="preserve">Topic</t>
  </si>
  <si>
    <t xml:space="preserve">Explanation</t>
  </si>
  <si>
    <t xml:space="preserve">First try.zip, supplied in this chat. Implemented single-player campaign: Mission 1 → Mission 4. The opening/slum/harbor scenes are treated as part of Mission 1. Docs for Missions 5–8 are design plans, not implemented dialogue in this ZIP, and are excluded. Trailer voice-over, test harnesses, developer/debug messages, objectives, item descriptions, and environmental written evidence are excluded from actor recording needs.</t>
  </si>
  <si>
    <t xml:space="preserve">What to record</t>
  </si>
  <si>
    <t xml:space="preserve">Missing lines contains 76 distinct recording tasks: 52 unique registered lines with no matched audio, plus 24 runtime spoken lines absent from the manifest. Two further missing manifest IDs duplicate existing text and do not require another recording. Every task includes its script location.</t>
  </si>
  <si>
    <t xml:space="preserve">Chronological order</t>
  </si>
  <si>
    <t xml:space="preserve">Order follows mission, then broad gameplay phase / scene. This is not VO-ID order. Choice lines, checkpoint barks, route-dependent triggers, combat barks, timed extraction warnings, secret events, and fail scenes can occur only on certain paths or interleave other lines. Their notes identify this. No single exact total order exists for all optional content.</t>
  </si>
  <si>
    <t xml:space="preserve">By character</t>
  </si>
  <si>
    <t xml:space="preserve">Each character has a tab ordered Mission 1 → Mission 4. Character tabs also include that character’s text-only review rows where relevant. Use Missing lines as the master actor checklist and Text-only review as the master implementation-review list; character-tab Tracking cells link to those masters. Other details in character views are export snapshots.</t>
  </si>
  <si>
    <t xml:space="preserve">Registered files</t>
  </si>
  <si>
    <t xml:space="preserve">Record clean audio named VO_NNN.wav (or .ogg / .mp3 / .flac) under assets/voice/, optionally inside the speaker’s subfolder. The game applies radio effects automatically where used. Do not bake the radio effect into the recording.</t>
  </si>
  <si>
    <t xml:space="preserve">Unregistered lines</t>
  </si>
  <si>
    <t xml:space="preserve">NEW_NNN is an export-only checklist ID. These lines need a real new VO ID and an exact text entry in src/audio/voice_manifest.py before the game can resolve a recording. A file named NEW_NNN.wav will not play automatically. Exact script wording is preserved.</t>
  </si>
  <si>
    <t xml:space="preserve">Text-only review</t>
  </si>
  <si>
    <t xml:space="preserve">TEXT_NNN is an export-only checklist ID. This tab separates NPC dialogue without voice-playback hooks from generic system radio/HUD text and captions. No actor recording is assumed mandatory for these rows. Add voice hooks and registry entries if you want the NPCs voiced; do not voice screen captions by accident. NPC sentences displayed together are grouped into the same dialogue block.</t>
  </si>
  <si>
    <t xml:space="preserve">Speaker mismatch — check first</t>
  </si>
  <si>
    <t xml:space="preserve">VO_076 and VO_077 are labelled MARU (reply) in the voice manifest, but Mission 4 _resolve_choice() inserts the replies as BIRIBEL. They appear on Maru’s tab using the registry’s intended voice, with a warning. Confirm or fix the speaker before recording. Choice labels and prompts are not separate spoken lines.</t>
  </si>
  <si>
    <t xml:space="preserve">Duplicate IDs</t>
  </si>
  <si>
    <t xml:space="preserve">VO_014 normalizes to VO_006; VO_162 normalizes to VO_129. Current text lookup chooses the earlier ID. Reuse one recording per pair. They remain visible in Registry audit and Duplicates &amp; unused, but are not double-counted as recording tasks.</t>
  </si>
  <si>
    <t xml:space="preserve">Unused kid response</t>
  </si>
  <si>
    <t xml:space="preserve">Hungry Kid thanks[] contains two first-person sentences, but the implemented Kevlar interaction displays a third-person equipment caption instead. The unused response is listed separately, not counted as missing in-game actor audio.</t>
  </si>
  <si>
    <t xml:space="preserve">How missing audio was checked</t>
  </si>
  <si>
    <t xml:space="preserve">Reproduced the project’s _scan_files, filename sorting, clip-duration alignment, normalization, and find_line lookup against the supplied audio files. Explicit VO filenames win; unnamed files are matched by speaker folder, timestamp, and length, as the game does. The _radio_cache folder is not treated as original recordings.</t>
  </si>
  <si>
    <t xml:space="preserve">Evidence limitation</t>
  </si>
  <si>
    <t xml:space="preserve">119 of 173 manifest IDs resolve to audio files; 54 do not. Audio-file speech was not transcribed or listened through, so “Audio matched” means the game assigns a file, not proof that its contents are the correct take. This workbook audits missing playback coverage in the supplied version, not recording quality.</t>
  </si>
  <si>
    <t xml:space="preserve">Primary sources</t>
  </si>
  <si>
    <t xml:space="preserve">src/audio/voice_manifest.py; src/audio/voice.py; assets/voice/README.txt; src/cutscenes/engine.py; src/core/interactions.py; src/missions/walking_sim.py; src/missions/m1–m4 dialogue, radio triggers, cutscene metadata, and progression code. Source file : line is relative to the ZIP root.</t>
  </si>
  <si>
    <t xml:space="preserve">Validation checks</t>
  </si>
  <si>
    <t xml:space="preserve">173 manifest IDs accounted for; 119 assigned audio files; 52 unique registered recording tasks + 2 duplicate IDs without files = 54 unmatched IDs. All checklist rows have source locations. Audio mapping uses original recordings, not processed caches. No project source or recording was modified for this export.</t>
  </si>
</sst>
</file>

<file path=xl/styles.xml><?xml version="1.0" encoding="utf-8"?>
<styleSheet xmlns="http://schemas.openxmlformats.org/spreadsheetml/2006/main">
  <numFmts count="3">
    <numFmt numFmtId="164" formatCode="General"/>
    <numFmt numFmtId="165" formatCode="0"/>
    <numFmt numFmtId="166" formatCode="&quot;Mission &quot;0"/>
  </numFmts>
  <fonts count="18">
    <font>
      <sz val="11"/>
      <color theme="1"/>
      <name val="Calibri"/>
      <family val="2"/>
      <charset val="1"/>
    </font>
    <font>
      <sz val="10"/>
      <name val="Arial"/>
      <family val="0"/>
    </font>
    <font>
      <sz val="10"/>
      <name val="Arial"/>
      <family val="0"/>
    </font>
    <font>
      <sz val="10"/>
      <name val="Arial"/>
      <family val="0"/>
    </font>
    <font>
      <b val="true"/>
      <sz val="20"/>
      <color rgb="FFFFFFFF"/>
      <name val="Calibri"/>
      <family val="2"/>
      <charset val="1"/>
    </font>
    <font>
      <sz val="11"/>
      <color rgb="FF526570"/>
      <name val="Calibri"/>
      <family val="2"/>
      <charset val="1"/>
    </font>
    <font>
      <b val="true"/>
      <sz val="11"/>
      <color theme="1"/>
      <name val="Calibri"/>
      <family val="2"/>
      <charset val="1"/>
    </font>
    <font>
      <b val="true"/>
      <sz val="21"/>
      <color rgb="FF147D92"/>
      <name val="Calibri"/>
      <family val="2"/>
      <charset val="1"/>
    </font>
    <font>
      <b val="true"/>
      <sz val="11"/>
      <color rgb="FFFFFFFF"/>
      <name val="Calibri"/>
      <family val="2"/>
      <charset val="1"/>
    </font>
    <font>
      <sz val="12"/>
      <color theme="10"/>
      <name val="Calibri"/>
      <family val="2"/>
      <charset val="1"/>
    </font>
    <font>
      <sz val="10"/>
      <name val="Arial"/>
      <family val="2"/>
    </font>
    <font>
      <b val="true"/>
      <sz val="18"/>
      <color rgb="FFFFFFFF"/>
      <name val="Calibri"/>
      <family val="2"/>
      <charset val="1"/>
    </font>
    <font>
      <b val="true"/>
      <sz val="11"/>
      <color rgb="FFFFFFFF"/>
      <name val="Arial"/>
      <family val="2"/>
      <charset val="1"/>
    </font>
    <font>
      <sz val="11"/>
      <color theme="1"/>
      <name val="Arial"/>
      <family val="2"/>
      <charset val="1"/>
    </font>
    <font>
      <b val="true"/>
      <sz val="11"/>
      <color rgb="FF147D92"/>
      <name val="Consolas"/>
      <family val="2"/>
      <charset val="1"/>
    </font>
    <font>
      <sz val="10"/>
      <color rgb="FF5A6872"/>
      <name val="Arial"/>
      <family val="2"/>
      <charset val="1"/>
    </font>
    <font>
      <b val="true"/>
      <sz val="18"/>
      <color rgb="FFFFFFFF"/>
      <name val="Arial"/>
      <family val="2"/>
      <charset val="1"/>
    </font>
    <font>
      <b val="true"/>
      <sz val="11"/>
      <color theme="1"/>
      <name val="Arial"/>
      <family val="2"/>
      <charset val="1"/>
    </font>
  </fonts>
  <fills count="5">
    <fill>
      <patternFill patternType="none"/>
    </fill>
    <fill>
      <patternFill patternType="gray125"/>
    </fill>
    <fill>
      <patternFill patternType="solid">
        <fgColor rgb="FF173443"/>
        <bgColor rgb="FF003366"/>
      </patternFill>
    </fill>
    <fill>
      <patternFill patternType="solid">
        <fgColor rgb="FFE9F3F5"/>
        <bgColor rgb="FFFFFFFF"/>
      </patternFill>
    </fill>
    <fill>
      <patternFill patternType="solid">
        <fgColor rgb="FFFFF0CD"/>
        <bgColor rgb="FFE9F3F5"/>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9" fillId="0" borderId="0" applyFont="true" applyBorder="true" applyAlignment="true" applyProtection="true">
      <alignment horizontal="general" vertical="bottom" textRotation="0" wrapText="false" indent="0" shrinkToFit="false"/>
      <protection locked="true" hidden="false"/>
    </xf>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5" fontId="7" fillId="3"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right" vertical="bottom" textRotation="0" wrapText="false" indent="0" shrinkToFit="false"/>
      <protection locked="true" hidden="false"/>
    </xf>
    <xf numFmtId="165" fontId="6" fillId="3" borderId="0" xfId="0" applyFont="true" applyBorder="false" applyAlignment="true" applyProtection="false">
      <alignment horizontal="right" vertical="bottom" textRotation="0" wrapText="false" indent="0" shrinkToFit="false"/>
      <protection locked="true" hidden="false"/>
    </xf>
    <xf numFmtId="164" fontId="8" fillId="2" borderId="0" xfId="0" applyFont="true" applyBorder="false" applyAlignment="true" applyProtection="false">
      <alignment horizontal="general" vertical="bottom" textRotation="0" wrapText="true" indent="0" shrinkToFit="false"/>
      <protection locked="true" hidden="false"/>
    </xf>
    <xf numFmtId="164" fontId="9" fillId="0" borderId="0" xfId="20" applyFont="true" applyBorder="false" applyAlignment="false" applyProtection="false">
      <alignment horizontal="general" vertical="bottom" textRotation="0" wrapText="false" indent="0" shrinkToFit="false"/>
      <protection locked="true" hidden="false"/>
    </xf>
    <xf numFmtId="164" fontId="9" fillId="0" borderId="0" xfId="20" applyFont="true" applyBorder="true" applyAlignment="false" applyProtection="false">
      <alignment horizontal="general" vertical="bottom" textRotation="0" wrapText="false" indent="0" shrinkToFit="false"/>
      <protection locked="true" hidden="false"/>
    </xf>
    <xf numFmtId="164" fontId="11" fillId="2" borderId="0" xfId="0" applyFont="true" applyBorder="true" applyAlignment="true" applyProtection="false">
      <alignment horizontal="general" vertical="center" textRotation="0" wrapText="false" indent="0" shrinkToFit="false"/>
      <protection locked="true" hidden="false"/>
    </xf>
    <xf numFmtId="164" fontId="12" fillId="2" borderId="0" xfId="0" applyFont="true" applyBorder="false" applyAlignment="true" applyProtection="false">
      <alignment horizontal="general" vertical="center" textRotation="0" wrapText="true" indent="0" shrinkToFit="false"/>
      <protection locked="true" hidden="false"/>
    </xf>
    <xf numFmtId="165" fontId="13" fillId="0" borderId="0" xfId="0" applyFont="true" applyBorder="false" applyAlignment="true" applyProtection="false">
      <alignment horizontal="center" vertical="top" textRotation="0" wrapText="true" indent="0" shrinkToFit="false"/>
      <protection locked="true" hidden="false"/>
    </xf>
    <xf numFmtId="166" fontId="13" fillId="0" borderId="0" xfId="0" applyFont="true" applyBorder="false" applyAlignment="true" applyProtection="false">
      <alignment horizontal="center" vertical="top" textRotation="0" wrapText="tru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13" fillId="4" borderId="0" xfId="0" applyFont="true" applyBorder="false" applyAlignment="true" applyProtection="false">
      <alignment horizontal="general" vertical="top" textRotation="0" wrapText="true" indent="0" shrinkToFit="false"/>
      <protection locked="true" hidden="false"/>
    </xf>
    <xf numFmtId="164" fontId="16" fillId="2" borderId="0" xfId="0" applyFont="true" applyBorder="true" applyAlignment="true" applyProtection="false">
      <alignment horizontal="general" vertical="center"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12" fillId="2" borderId="0" xfId="0" applyFont="true" applyBorder="false" applyAlignment="true" applyProtection="false">
      <alignment horizontal="general" vertical="top" textRotation="0" wrapText="true" indent="0" shrinkToFit="false"/>
      <protection locked="true" hidden="false"/>
    </xf>
    <xf numFmtId="164" fontId="17" fillId="3" borderId="0" xfId="0" applyFont="true" applyBorder="false" applyAlignment="true" applyProtection="fals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15">
    <dxf>
      <fill>
        <patternFill patternType="solid">
          <fgColor rgb="FF17344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147D92"/>
          <bgColor rgb="FF000000"/>
        </patternFill>
      </fill>
    </dxf>
    <dxf>
      <fill>
        <patternFill patternType="solid">
          <fgColor rgb="FFFFF0CD"/>
          <bgColor rgb="FF000000"/>
        </patternFill>
      </fill>
    </dxf>
    <dxf>
      <fill>
        <patternFill patternType="solid">
          <fgColor rgb="FF5A6872"/>
          <bgColor rgb="FF000000"/>
        </patternFill>
      </fill>
    </dxf>
    <dxf>
      <font>
        <name val="Calibri"/>
        <charset val="1"/>
        <family val="2"/>
        <color rgb="FF000000"/>
        <sz val="11"/>
      </font>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8" type="wholeTable"/>
      <tableStyleElement dxfId="9" type="firstColumnStripe"/>
      <tableStyleElement dxfId="10" type="firstRowStripe"/>
      <tableStyleElement dxfId="11" type="lastColumn"/>
      <tableStyleElement dxfId="12" type="firstColumn"/>
      <tableStyleElement dxfId="13" type="headerRow"/>
      <tableStyleElement dxfId="14"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B68932"/>
      <rgbColor rgb="FF800080"/>
      <rgbColor rgb="FF147D92"/>
      <rgbColor rgb="FFC0C0C0"/>
      <rgbColor rgb="FF687C86"/>
      <rgbColor rgb="FF9999FF"/>
      <rgbColor rgb="FF993366"/>
      <rgbColor rgb="FFFFF0CD"/>
      <rgbColor rgb="FFE9F3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4F81BD"/>
      <rgbColor rgb="FF33CCCC"/>
      <rgbColor rgb="FF99CC00"/>
      <rgbColor rgb="FFFFCC00"/>
      <rgbColor rgb="FFFF9900"/>
      <rgbColor rgb="FFFF6600"/>
      <rgbColor rgb="FF5A6872"/>
      <rgbColor rgb="FF969696"/>
      <rgbColor rgb="FF003366"/>
      <rgbColor rgb="FF526570"/>
      <rgbColor rgb="FF003300"/>
      <rgbColor rgb="FF333300"/>
      <rgbColor rgb="FF993300"/>
      <rgbColor rgb="FF993366"/>
      <rgbColor rgb="FF333399"/>
      <rgbColor rgb="FF1734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sharedStrings" Target="sharedStrings.xml"/>
</Relationships>
</file>

<file path=xl/tables/table1.xml><?xml version="1.0" encoding="utf-8"?>
<table xmlns="http://schemas.openxmlformats.org/spreadsheetml/2006/main" id="1" name="BalaceanuTable" displayName="BalaceanuTable" ref="A4:J16" headerRowCount="1" totalsRowCount="0" totalsRowShown="0">
  <autoFilter ref="A4:J16"/>
  <tableColumns count="10">
    <tableColumn id="1" name="Order"/>
    <tableColumn id="2" name="Mission"/>
    <tableColumn id="3" name="Scene / trigger"/>
    <tableColumn id="4" name="ID"/>
    <tableColumn id="5" name="Character"/>
    <tableColumn id="6" name="Exact line / dialogue"/>
    <tableColumn id="7" name="Gap / action"/>
    <tableColumn id="8" name="Tracking"/>
    <tableColumn id="9" name="Notes"/>
    <tableColumn id="10" name="Source file : line"/>
  </tableColumns>
  <tableStyleInfo name="TableStyleMedium2" showFirstColumn="0" showLastColumn="0" showRowStripes="1" showColumnStripes="0"/>
</table>
</file>

<file path=xl/tables/table2.xml><?xml version="1.0" encoding="utf-8"?>
<table xmlns="http://schemas.openxmlformats.org/spreadsheetml/2006/main" id="2" name="BiribelTable" displayName="BiribelTable" ref="A4:J7" headerRowCount="1" totalsRowCount="0" totalsRowShown="0">
  <autoFilter ref="A4:J7"/>
  <tableColumns count="10">
    <tableColumn id="1" name="Order"/>
    <tableColumn id="2" name="Mission"/>
    <tableColumn id="3" name="Scene / trigger"/>
    <tableColumn id="4" name="ID"/>
    <tableColumn id="5" name="Character"/>
    <tableColumn id="6" name="Exact line / dialogue"/>
    <tableColumn id="7" name="Gap / action"/>
    <tableColumn id="8" name="Tracking"/>
    <tableColumn id="9" name="Notes"/>
    <tableColumn id="10" name="Source file : line"/>
  </tableColumns>
  <tableStyleInfo name="TableStyleMedium2" showFirstColumn="0" showLastColumn="0" showRowStripes="1" showColumnStripes="0"/>
</table>
</file>

<file path=xl/tables/table3.xml><?xml version="1.0" encoding="utf-8"?>
<table xmlns="http://schemas.openxmlformats.org/spreadsheetml/2006/main" id="3" name="DariusTable" displayName="DariusTable" ref="A4:J5" headerRowCount="1" totalsRowCount="0" totalsRowShown="0">
  <autoFilter ref="A4:J5"/>
  <tableColumns count="10">
    <tableColumn id="1" name="Order"/>
    <tableColumn id="2" name="Mission"/>
    <tableColumn id="3" name="Scene / trigger"/>
    <tableColumn id="4" name="ID"/>
    <tableColumn id="5" name="Character"/>
    <tableColumn id="6" name="Exact line / dialogue"/>
    <tableColumn id="7" name="Gap / action"/>
    <tableColumn id="8" name="Tracking"/>
    <tableColumn id="9" name="Notes"/>
    <tableColumn id="10" name="Source file : line"/>
  </tableColumns>
  <tableStyleInfo name="TableStyleMedium2" showFirstColumn="0" showLastColumn="0" showRowStripes="1" showColumnStripes="0"/>
</table>
</file>

<file path=xl/tables/table4.xml><?xml version="1.0" encoding="utf-8"?>
<table xmlns="http://schemas.openxmlformats.org/spreadsheetml/2006/main" id="4" name="DuplicatesUnusedTable" displayName="DuplicatesUnusedTable" ref="A4:F7" headerRowCount="1" totalsRowCount="0" totalsRowShown="0">
  <autoFilter ref="A4:F7"/>
  <tableColumns count="6">
    <tableColumn id="1" name="ID"/>
    <tableColumn id="2" name="Speaker"/>
    <tableColumn id="3" name="Text"/>
    <tableColumn id="4" name="Reason"/>
    <tableColumn id="5" name="Action / evidence"/>
    <tableColumn id="6" name="Source"/>
  </tableColumns>
  <tableStyleInfo name="TableStyleMedium2" showFirstColumn="0" showLastColumn="0" showRowStripes="1" showColumnStripes="0"/>
</table>
</file>

<file path=xl/tables/table5.xml><?xml version="1.0" encoding="utf-8"?>
<table xmlns="http://schemas.openxmlformats.org/spreadsheetml/2006/main" id="5" name="GabiTable" displayName="GabiTable" ref="A4:J5" headerRowCount="1" totalsRowCount="0" totalsRowShown="0">
  <autoFilter ref="A4:J5"/>
  <tableColumns count="10">
    <tableColumn id="1" name="Order"/>
    <tableColumn id="2" name="Mission"/>
    <tableColumn id="3" name="Scene / trigger"/>
    <tableColumn id="4" name="ID"/>
    <tableColumn id="5" name="Character"/>
    <tableColumn id="6" name="Exact line / dialogue"/>
    <tableColumn id="7" name="Gap / action"/>
    <tableColumn id="8" name="Tracking"/>
    <tableColumn id="9" name="Notes"/>
    <tableColumn id="10" name="Source file : line"/>
  </tableColumns>
  <tableStyleInfo name="TableStyleMedium2" showFirstColumn="0" showLastColumn="0" showRowStripes="1" showColumnStripes="0"/>
</table>
</file>

<file path=xl/tables/table6.xml><?xml version="1.0" encoding="utf-8"?>
<table xmlns="http://schemas.openxmlformats.org/spreadsheetml/2006/main" id="6" name="HungryKidTable" displayName="HungryKidTable" ref="A4:J6" headerRowCount="1" totalsRowCount="0" totalsRowShown="0">
  <autoFilter ref="A4:J6"/>
  <tableColumns count="10">
    <tableColumn id="1" name="Order"/>
    <tableColumn id="2" name="Mission"/>
    <tableColumn id="3" name="Scene / trigger"/>
    <tableColumn id="4" name="ID"/>
    <tableColumn id="5" name="Character"/>
    <tableColumn id="6" name="Exact line / dialogue"/>
    <tableColumn id="7" name="Gap / action"/>
    <tableColumn id="8" name="Tracking"/>
    <tableColumn id="9" name="Notes"/>
    <tableColumn id="10" name="Source file : line"/>
  </tableColumns>
  <tableStyleInfo name="TableStyleMedium2" showFirstColumn="0" showLastColumn="0" showRowStripes="1" showColumnStripes="0"/>
</table>
</file>

<file path=xl/tables/table7.xml><?xml version="1.0" encoding="utf-8"?>
<table xmlns="http://schemas.openxmlformats.org/spreadsheetml/2006/main" id="7" name="InterceptOperatorTable" displayName="InterceptOperatorTable" ref="A4:J5" headerRowCount="1" totalsRowCount="0" totalsRowShown="0">
  <autoFilter ref="A4:J5"/>
  <tableColumns count="10">
    <tableColumn id="1" name="Order"/>
    <tableColumn id="2" name="Mission"/>
    <tableColumn id="3" name="Scene / trigger"/>
    <tableColumn id="4" name="ID"/>
    <tableColumn id="5" name="Character"/>
    <tableColumn id="6" name="Exact line / dialogue"/>
    <tableColumn id="7" name="Gap / action"/>
    <tableColumn id="8" name="Tracking"/>
    <tableColumn id="9" name="Notes"/>
    <tableColumn id="10" name="Source file : line"/>
  </tableColumns>
  <tableStyleInfo name="TableStyleMedium2" showFirstColumn="0" showLastColumn="0" showRowStripes="1" showColumnStripes="0"/>
</table>
</file>

<file path=xl/tables/table8.xml><?xml version="1.0" encoding="utf-8"?>
<table xmlns="http://schemas.openxmlformats.org/spreadsheetml/2006/main" id="8" name="IPADispatchTable" displayName="IPADispatchTable" ref="A4:J5" headerRowCount="1" totalsRowCount="0" totalsRowShown="0">
  <autoFilter ref="A4:J5"/>
  <tableColumns count="10">
    <tableColumn id="1" name="Order"/>
    <tableColumn id="2" name="Mission"/>
    <tableColumn id="3" name="Scene / trigger"/>
    <tableColumn id="4" name="ID"/>
    <tableColumn id="5" name="Character"/>
    <tableColumn id="6" name="Exact line / dialogue"/>
    <tableColumn id="7" name="Gap / action"/>
    <tableColumn id="8" name="Tracking"/>
    <tableColumn id="9" name="Notes"/>
    <tableColumn id="10" name="Source file : line"/>
  </tableColumns>
  <tableStyleInfo name="TableStyleMedium2" showFirstColumn="0" showLastColumn="0" showRowStripes="1" showColumnStripes="0"/>
</table>
</file>

<file path=xl/tables/table9.xml><?xml version="1.0" encoding="utf-8"?>
<table xmlns="http://schemas.openxmlformats.org/spreadsheetml/2006/main" id="9" name="LoyalistCommsTable" displayName="LoyalistCommsTable" ref="A4:J6" headerRowCount="1" totalsRowCount="0" totalsRowShown="0">
  <autoFilter ref="A4:J6"/>
  <tableColumns count="10">
    <tableColumn id="1" name="Order"/>
    <tableColumn id="2" name="Mission"/>
    <tableColumn id="3" name="Scene / trigger"/>
    <tableColumn id="4" name="ID"/>
    <tableColumn id="5" name="Character"/>
    <tableColumn id="6" name="Exact line / dialogue"/>
    <tableColumn id="7" name="Gap / action"/>
    <tableColumn id="8" name="Tracking"/>
    <tableColumn id="9" name="Notes"/>
    <tableColumn id="10" name="Source file : line"/>
  </tableColumns>
  <tableStyleInfo name="TableStyleMedium2" showFirstColumn="0" showLastColumn="0" showRowStripes="1" showColumnStripes="0"/>
</table>
</file>

<file path=xl/tables/table10.xml><?xml version="1.0" encoding="utf-8"?>
<table xmlns="http://schemas.openxmlformats.org/spreadsheetml/2006/main" id="10" name="MaruTable" displayName="MaruTable" ref="A4:J18" headerRowCount="1" totalsRowCount="0" totalsRowShown="0">
  <autoFilter ref="A4:J18"/>
  <tableColumns count="10">
    <tableColumn id="1" name="Order"/>
    <tableColumn id="2" name="Mission"/>
    <tableColumn id="3" name="Scene / trigger"/>
    <tableColumn id="4" name="ID"/>
    <tableColumn id="5" name="Character"/>
    <tableColumn id="6" name="Exact line / dialogue"/>
    <tableColumn id="7" name="Gap / action"/>
    <tableColumn id="8" name="Tracking"/>
    <tableColumn id="9" name="Notes"/>
    <tableColumn id="10" name="Source file : line"/>
  </tableColumns>
  <tableStyleInfo name="TableStyleMedium2" showFirstColumn="0" showLastColumn="0" showRowStripes="1" showColumnStripes="0"/>
</table>
</file>

<file path=xl/tables/table11.xml><?xml version="1.0" encoding="utf-8"?>
<table xmlns="http://schemas.openxmlformats.org/spreadsheetml/2006/main" id="11" name="MissinglinesTable" displayName="MissinglinesTable" ref="A4:J80" headerRowCount="1" totalsRowCount="0" totalsRowShown="0">
  <autoFilter ref="A4:J80"/>
  <tableColumns count="10">
    <tableColumn id="1" name="Order"/>
    <tableColumn id="2" name="Mission"/>
    <tableColumn id="3" name="Scene / trigger"/>
    <tableColumn id="4" name="ID"/>
    <tableColumn id="5" name="Character"/>
    <tableColumn id="6" name="Exact line / dialogue"/>
    <tableColumn id="7" name="Gap / action"/>
    <tableColumn id="8" name="Tracking"/>
    <tableColumn id="9" name="Notes"/>
    <tableColumn id="10" name="Source file : line"/>
  </tableColumns>
  <tableStyleInfo name="TableStyleMedium2" showFirstColumn="0" showLastColumn="0" showRowStripes="1" showColumnStripes="0"/>
</table>
</file>

<file path=xl/tables/table12.xml><?xml version="1.0" encoding="utf-8"?>
<table xmlns="http://schemas.openxmlformats.org/spreadsheetml/2006/main" id="12" name="OldFishermanTable" displayName="OldFishermanTable" ref="A4:J11" headerRowCount="1" totalsRowCount="0" totalsRowShown="0">
  <autoFilter ref="A4:J11"/>
  <tableColumns count="10">
    <tableColumn id="1" name="Order"/>
    <tableColumn id="2" name="Mission"/>
    <tableColumn id="3" name="Scene / trigger"/>
    <tableColumn id="4" name="ID"/>
    <tableColumn id="5" name="Character"/>
    <tableColumn id="6" name="Exact line / dialogue"/>
    <tableColumn id="7" name="Gap / action"/>
    <tableColumn id="8" name="Tracking"/>
    <tableColumn id="9" name="Notes"/>
    <tableColumn id="10" name="Source file : line"/>
  </tableColumns>
  <tableStyleInfo name="TableStyleMedium2" showFirstColumn="0" showLastColumn="0" showRowStripes="1" showColumnStripes="0"/>
</table>
</file>

<file path=xl/tables/table13.xml><?xml version="1.0" encoding="utf-8"?>
<table xmlns="http://schemas.openxmlformats.org/spreadsheetml/2006/main" id="13" name="OldWomanTable" displayName="OldWomanTable" ref="A4:J7" headerRowCount="1" totalsRowCount="0" totalsRowShown="0">
  <autoFilter ref="A4:J7"/>
  <tableColumns count="10">
    <tableColumn id="1" name="Order"/>
    <tableColumn id="2" name="Mission"/>
    <tableColumn id="3" name="Scene / trigger"/>
    <tableColumn id="4" name="ID"/>
    <tableColumn id="5" name="Character"/>
    <tableColumn id="6" name="Exact line / dialogue"/>
    <tableColumn id="7" name="Gap / action"/>
    <tableColumn id="8" name="Tracking"/>
    <tableColumn id="9" name="Notes"/>
    <tableColumn id="10" name="Source file : line"/>
  </tableColumns>
  <tableStyleInfo name="TableStyleMedium2" showFirstColumn="0" showLastColumn="0" showRowStripes="1" showColumnStripes="0"/>
</table>
</file>

<file path=xl/tables/table14.xml><?xml version="1.0" encoding="utf-8"?>
<table xmlns="http://schemas.openxmlformats.org/spreadsheetml/2006/main" id="14" name="PASystemTable" displayName="PASystemTable" ref="A4:J5" headerRowCount="1" totalsRowCount="0" totalsRowShown="0">
  <autoFilter ref="A4:J5"/>
  <tableColumns count="10">
    <tableColumn id="1" name="Order"/>
    <tableColumn id="2" name="Mission"/>
    <tableColumn id="3" name="Scene / trigger"/>
    <tableColumn id="4" name="ID"/>
    <tableColumn id="5" name="Character"/>
    <tableColumn id="6" name="Exact line / dialogue"/>
    <tableColumn id="7" name="Gap / action"/>
    <tableColumn id="8" name="Tracking"/>
    <tableColumn id="9" name="Notes"/>
    <tableColumn id="10" name="Source file : line"/>
  </tableColumns>
  <tableStyleInfo name="TableStyleMedium2" showFirstColumn="0" showLastColumn="0" showRowStripes="1" showColumnStripes="0"/>
</table>
</file>

<file path=xl/tables/table15.xml><?xml version="1.0" encoding="utf-8"?>
<table xmlns="http://schemas.openxmlformats.org/spreadsheetml/2006/main" id="15" name="PresidentialPATable" displayName="PresidentialPATable" ref="A4:J7" headerRowCount="1" totalsRowCount="0" totalsRowShown="0">
  <autoFilter ref="A4:J7"/>
  <tableColumns count="10">
    <tableColumn id="1" name="Order"/>
    <tableColumn id="2" name="Mission"/>
    <tableColumn id="3" name="Scene / trigger"/>
    <tableColumn id="4" name="ID"/>
    <tableColumn id="5" name="Character"/>
    <tableColumn id="6" name="Exact line / dialogue"/>
    <tableColumn id="7" name="Gap / action"/>
    <tableColumn id="8" name="Tracking"/>
    <tableColumn id="9" name="Notes"/>
    <tableColumn id="10" name="Source file : line"/>
  </tableColumns>
  <tableStyleInfo name="TableStyleMedium2" showFirstColumn="0" showLastColumn="0" showRowStripes="1" showColumnStripes="0"/>
</table>
</file>

<file path=xl/tables/table16.xml><?xml version="1.0" encoding="utf-8"?>
<table xmlns="http://schemas.openxmlformats.org/spreadsheetml/2006/main" id="16" name="PresidentRetardoviciTable" displayName="PresidentRetardoviciTable" ref="A4:J5" headerRowCount="1" totalsRowCount="0" totalsRowShown="0">
  <autoFilter ref="A4:J5"/>
  <tableColumns count="10">
    <tableColumn id="1" name="Order"/>
    <tableColumn id="2" name="Mission"/>
    <tableColumn id="3" name="Scene / trigger"/>
    <tableColumn id="4" name="ID"/>
    <tableColumn id="5" name="Character"/>
    <tableColumn id="6" name="Exact line / dialogue"/>
    <tableColumn id="7" name="Gap / action"/>
    <tableColumn id="8" name="Tracking"/>
    <tableColumn id="9" name="Notes"/>
    <tableColumn id="10" name="Source file : line"/>
  </tableColumns>
  <tableStyleInfo name="TableStyleMedium2" showFirstColumn="0" showLastColumn="0" showRowStripes="1" showColumnStripes="0"/>
</table>
</file>

<file path=xl/tables/table17.xml><?xml version="1.0" encoding="utf-8"?>
<table xmlns="http://schemas.openxmlformats.org/spreadsheetml/2006/main" id="17" name="RegistryAuditTable" displayName="RegistryAuditTable" ref="A4:H177" headerRowCount="1" totalsRowCount="0" totalsRowShown="0">
  <autoFilter ref="A4:H177"/>
  <tableColumns count="8">
    <tableColumn id="1" name="VO ID"/>
    <tableColumn id="2" name="Character"/>
    <tableColumn id="3" name="Manifest speaker"/>
    <tableColumn id="4" name="Manifest text"/>
    <tableColumn id="5" name="Audit result"/>
    <tableColumn id="6" name="Matched file"/>
    <tableColumn id="7" name="Script references"/>
    <tableColumn id="8" name="Notes"/>
  </tableColumns>
  <tableStyleInfo name="TableStyleMedium2" showFirstColumn="0" showLastColumn="0" showRowStripes="1" showColumnStripes="0"/>
</table>
</file>

<file path=xl/tables/table18.xml><?xml version="1.0" encoding="utf-8"?>
<table xmlns="http://schemas.openxmlformats.org/spreadsheetml/2006/main" id="18" name="SebyTable" displayName="SebyTable" ref="A4:J5" headerRowCount="1" totalsRowCount="0" totalsRowShown="0">
  <autoFilter ref="A4:J5"/>
  <tableColumns count="10">
    <tableColumn id="1" name="Order"/>
    <tableColumn id="2" name="Mission"/>
    <tableColumn id="3" name="Scene / trigger"/>
    <tableColumn id="4" name="ID"/>
    <tableColumn id="5" name="Character"/>
    <tableColumn id="6" name="Exact line / dialogue"/>
    <tableColumn id="7" name="Gap / action"/>
    <tableColumn id="8" name="Tracking"/>
    <tableColumn id="9" name="Notes"/>
    <tableColumn id="10" name="Source file : line"/>
  </tableColumns>
  <tableStyleInfo name="TableStyleMedium2" showFirstColumn="0" showLastColumn="0" showRowStripes="1" showColumnStripes="0"/>
</table>
</file>

<file path=xl/tables/table19.xml><?xml version="1.0" encoding="utf-8"?>
<table xmlns="http://schemas.openxmlformats.org/spreadsheetml/2006/main" id="19" name="SystemTable" displayName="SystemTable" ref="A4:J13" headerRowCount="1" totalsRowCount="0" totalsRowShown="0">
  <autoFilter ref="A4:J13"/>
  <tableColumns count="10">
    <tableColumn id="1" name="Order"/>
    <tableColumn id="2" name="Mission"/>
    <tableColumn id="3" name="Scene / trigger"/>
    <tableColumn id="4" name="ID"/>
    <tableColumn id="5" name="Character"/>
    <tableColumn id="6" name="Exact line / dialogue"/>
    <tableColumn id="7" name="Gap / action"/>
    <tableColumn id="8" name="Tracking"/>
    <tableColumn id="9" name="Notes"/>
    <tableColumn id="10" name="Source file : line"/>
  </tableColumns>
  <tableStyleInfo name="TableStyleMedium2" showFirstColumn="0" showLastColumn="0" showRowStripes="1" showColumnStripes="0"/>
</table>
</file>

<file path=xl/tables/table20.xml><?xml version="1.0" encoding="utf-8"?>
<table xmlns="http://schemas.openxmlformats.org/spreadsheetml/2006/main" id="20" name="TextonlyreviewTable" displayName="TextonlyreviewTable" ref="A4:J25" headerRowCount="1" totalsRowCount="0" totalsRowShown="0">
  <autoFilter ref="A4:J25"/>
  <tableColumns count="10">
    <tableColumn id="1" name="Order"/>
    <tableColumn id="2" name="Mission"/>
    <tableColumn id="3" name="Scene / trigger"/>
    <tableColumn id="4" name="ID"/>
    <tableColumn id="5" name="Character"/>
    <tableColumn id="6" name="Exact line / dialogue"/>
    <tableColumn id="7" name="Gap / action"/>
    <tableColumn id="8" name="Tracking"/>
    <tableColumn id="9" name="Notes"/>
    <tableColumn id="10" name="Source file : line"/>
  </tableColumns>
  <tableStyleInfo name="TableStyleMedium2" showFirstColumn="0" showLastColumn="0" showRowStripes="1" showColumnStripes="0"/>
</table>
</file>

<file path=xl/tables/table21.xml><?xml version="1.0" encoding="utf-8"?>
<table xmlns="http://schemas.openxmlformats.org/spreadsheetml/2006/main" id="21" name="VasileTable" displayName="VasileTable" ref="A4:J8" headerRowCount="1" totalsRowCount="0" totalsRowShown="0">
  <autoFilter ref="A4:J8"/>
  <tableColumns count="10">
    <tableColumn id="1" name="Order"/>
    <tableColumn id="2" name="Mission"/>
    <tableColumn id="3" name="Scene / trigger"/>
    <tableColumn id="4" name="ID"/>
    <tableColumn id="5" name="Character"/>
    <tableColumn id="6" name="Exact line / dialogue"/>
    <tableColumn id="7" name="Gap / action"/>
    <tableColumn id="8" name="Tracking"/>
    <tableColumn id="9" name="Notes"/>
    <tableColumn id="10" name="Source file : line"/>
  </tableColumns>
  <tableStyleInfo name="TableStyleMedium2" showFirstColumn="0" showLastColumn="0" showRowStripes="1" showColumnStripes="0"/>
</table>
</file>

<file path=xl/tables/table22.xml><?xml version="1.0" encoding="utf-8"?>
<table xmlns="http://schemas.openxmlformats.org/spreadsheetml/2006/main" id="22" name="VolkovTable" displayName="VolkovTable" ref="A4:J35" headerRowCount="1" totalsRowCount="0" totalsRowShown="0">
  <autoFilter ref="A4:J35"/>
  <tableColumns count="10">
    <tableColumn id="1" name="Order"/>
    <tableColumn id="2" name="Mission"/>
    <tableColumn id="3" name="Scene / trigger"/>
    <tableColumn id="4" name="ID"/>
    <tableColumn id="5" name="Character"/>
    <tableColumn id="6" name="Exact line / dialogue"/>
    <tableColumn id="7" name="Gap / action"/>
    <tableColumn id="8" name="Tracking"/>
    <tableColumn id="9" name="Notes"/>
    <tableColumn id="10" name="Source file : line"/>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source/Missing_voice_lines_by_character.xlsx" TargetMode="External"/><Relationship Id="rId3" Type="http://schemas.openxmlformats.org/officeDocument/2006/relationships/hyperlink" Target="../source/Missing_voice_lines_by_character.xlsx" TargetMode="External"/><Relationship Id="rId4" Type="http://schemas.openxmlformats.org/officeDocument/2006/relationships/hyperlink" Target="../source/Missing_voice_lines_by_character.xlsx" TargetMode="External"/><Relationship Id="rId5" Type="http://schemas.openxmlformats.org/officeDocument/2006/relationships/hyperlink" Target="../source/Missing_voice_lines_by_character.xlsx" TargetMode="External"/><Relationship Id="rId6" Type="http://schemas.openxmlformats.org/officeDocument/2006/relationships/hyperlink" Target="../source/Missing_voice_lines_by_character.xlsx" TargetMode="External"/><Relationship Id="rId7" Type="http://schemas.openxmlformats.org/officeDocument/2006/relationships/hyperlink" Target="../source/Missing_voice_lines_by_character.xlsx" TargetMode="External"/><Relationship Id="rId8" Type="http://schemas.openxmlformats.org/officeDocument/2006/relationships/hyperlink" Target="../source/Missing_voice_lines_by_character.xlsx" TargetMode="External"/><Relationship Id="rId9" Type="http://schemas.openxmlformats.org/officeDocument/2006/relationships/hyperlink" Target="../source/Missing_voice_lines_by_character.xlsx" TargetMode="External"/><Relationship Id="rId10" Type="http://schemas.openxmlformats.org/officeDocument/2006/relationships/hyperlink" Target="../source/Missing_voice_lines_by_character.xlsx" TargetMode="External"/><Relationship Id="rId11" Type="http://schemas.openxmlformats.org/officeDocument/2006/relationships/hyperlink" Target="../source/Missing_voice_lines_by_character.xlsx" TargetMode="External"/><Relationship Id="rId12" Type="http://schemas.openxmlformats.org/officeDocument/2006/relationships/hyperlink" Target="../source/Missing_voice_lines_by_character.xlsx" TargetMode="External"/><Relationship Id="rId13" Type="http://schemas.openxmlformats.org/officeDocument/2006/relationships/hyperlink" Target="../source/Missing_voice_lines_by_character.xlsx" TargetMode="External"/><Relationship Id="rId14" Type="http://schemas.openxmlformats.org/officeDocument/2006/relationships/hyperlink" Target="../source/Missing_voice_lines_by_character.xlsx" TargetMode="External"/><Relationship Id="rId15" Type="http://schemas.openxmlformats.org/officeDocument/2006/relationships/hyperlink" Target="../source/Missing_voice_lines_by_character.xlsx" TargetMode="External"/><Relationship Id="rId16" Type="http://schemas.openxmlformats.org/officeDocument/2006/relationships/hyperlink" Target="../source/Missing_voice_lines_by_character.xlsx" TargetMode="External"/><Relationship Id="rId17" Type="http://schemas.openxmlformats.org/officeDocument/2006/relationships/hyperlink" Target="../source/Missing_voice_lines_by_character.xlsx" TargetMode="External"/><Relationship Id="rId18" Type="http://schemas.openxmlformats.org/officeDocument/2006/relationships/hyperlink" Target="../source/Missing_voice_lines_by_character.xlsx" TargetMode="External"/><Relationship Id="rId19" Type="http://schemas.openxmlformats.org/officeDocument/2006/relationships/hyperlink" Target="../source/Missing_voice_lines_by_character.xlsx" TargetMode="External"/><Relationship Id="rId20" Type="http://schemas.openxmlformats.org/officeDocument/2006/relationships/hyperlink" Target="../source/Missing_voice_lines_by_character.xlsx" TargetMode="External"/><Relationship Id="rId21"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table" Target="../tables/table11.xml"/>
</Relationships>
</file>

<file path=xl/worksheets/_rels/sheet3.xml.rels><?xml version="1.0" encoding="UTF-8"?>
<Relationships xmlns="http://schemas.openxmlformats.org/package/2006/relationships"><Relationship Id="rId1" Type="http://schemas.openxmlformats.org/officeDocument/2006/relationships/table" Target="../tables/table20.x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table" Target="../tables/table3.xml"/>
</Relationships>
</file>

<file path=xl/worksheets/_rels/sheet7.xml.rels><?xml version="1.0" encoding="UTF-8"?>
<Relationships xmlns="http://schemas.openxmlformats.org/package/2006/relationships"><Relationship Id="rId1" Type="http://schemas.openxmlformats.org/officeDocument/2006/relationships/table" Target="../tables/table5.xml"/>
</Relationships>
</file>

<file path=xl/worksheets/_rels/sheet8.xml.rels><?xml version="1.0" encoding="UTF-8"?>
<Relationships xmlns="http://schemas.openxmlformats.org/package/2006/relationships"><Relationship Id="rId1" Type="http://schemas.openxmlformats.org/officeDocument/2006/relationships/table" Target="../tables/table6.xml"/>
</Relationships>
</file>

<file path=xl/worksheets/_rels/sheet9.xml.rels><?xml version="1.0" encoding="UTF-8"?>
<Relationships xmlns="http://schemas.openxmlformats.org/package/2006/relationships"><Relationship Id="rId1" Type="http://schemas.openxmlformats.org/officeDocument/2006/relationships/table" Target="../tables/table8.xml"/>
</Relationships>
</file>

<file path=xl/worksheets/_rels/sheet10.xml.rels><?xml version="1.0" encoding="UTF-8"?>
<Relationships xmlns="http://schemas.openxmlformats.org/package/2006/relationships"><Relationship Id="rId1" Type="http://schemas.openxmlformats.org/officeDocument/2006/relationships/table" Target="../tables/table7.xml"/>
</Relationships>
</file>

<file path=xl/worksheets/_rels/sheet11.xml.rels><?xml version="1.0" encoding="UTF-8"?>
<Relationships xmlns="http://schemas.openxmlformats.org/package/2006/relationships"><Relationship Id="rId1" Type="http://schemas.openxmlformats.org/officeDocument/2006/relationships/table" Target="../tables/table9.xml"/>
</Relationships>
</file>

<file path=xl/worksheets/_rels/sheet12.xml.rels><?xml version="1.0" encoding="UTF-8"?>
<Relationships xmlns="http://schemas.openxmlformats.org/package/2006/relationships"><Relationship Id="rId1" Type="http://schemas.openxmlformats.org/officeDocument/2006/relationships/table" Target="../tables/table10.xml"/>
</Relationships>
</file>

<file path=xl/worksheets/_rels/sheet13.xml.rels><?xml version="1.0" encoding="UTF-8"?>
<Relationships xmlns="http://schemas.openxmlformats.org/package/2006/relationships"><Relationship Id="rId1" Type="http://schemas.openxmlformats.org/officeDocument/2006/relationships/table" Target="../tables/table12.xml"/>
</Relationships>
</file>

<file path=xl/worksheets/_rels/sheet14.xml.rels><?xml version="1.0" encoding="UTF-8"?>
<Relationships xmlns="http://schemas.openxmlformats.org/package/2006/relationships"><Relationship Id="rId1" Type="http://schemas.openxmlformats.org/officeDocument/2006/relationships/table" Target="../tables/table13.xml"/>
</Relationships>
</file>

<file path=xl/worksheets/_rels/sheet15.xml.rels><?xml version="1.0" encoding="UTF-8"?>
<Relationships xmlns="http://schemas.openxmlformats.org/package/2006/relationships"><Relationship Id="rId1" Type="http://schemas.openxmlformats.org/officeDocument/2006/relationships/table" Target="../tables/table14.xml"/>
</Relationships>
</file>

<file path=xl/worksheets/_rels/sheet16.xml.rels><?xml version="1.0" encoding="UTF-8"?>
<Relationships xmlns="http://schemas.openxmlformats.org/package/2006/relationships"><Relationship Id="rId1" Type="http://schemas.openxmlformats.org/officeDocument/2006/relationships/table" Target="../tables/table16.xml"/>
</Relationships>
</file>

<file path=xl/worksheets/_rels/sheet17.xml.rels><?xml version="1.0" encoding="UTF-8"?>
<Relationships xmlns="http://schemas.openxmlformats.org/package/2006/relationships"><Relationship Id="rId1" Type="http://schemas.openxmlformats.org/officeDocument/2006/relationships/table" Target="../tables/table15.xml"/>
</Relationships>
</file>

<file path=xl/worksheets/_rels/sheet18.xml.rels><?xml version="1.0" encoding="UTF-8"?>
<Relationships xmlns="http://schemas.openxmlformats.org/package/2006/relationships"><Relationship Id="rId1" Type="http://schemas.openxmlformats.org/officeDocument/2006/relationships/table" Target="../tables/table18.xml"/>
</Relationships>
</file>

<file path=xl/worksheets/_rels/sheet19.xml.rels><?xml version="1.0" encoding="UTF-8"?>
<Relationships xmlns="http://schemas.openxmlformats.org/package/2006/relationships"><Relationship Id="rId1" Type="http://schemas.openxmlformats.org/officeDocument/2006/relationships/table" Target="../tables/table19.xml"/>
</Relationships>
</file>

<file path=xl/worksheets/_rels/sheet20.xml.rels><?xml version="1.0" encoding="UTF-8"?>
<Relationships xmlns="http://schemas.openxmlformats.org/package/2006/relationships"><Relationship Id="rId1" Type="http://schemas.openxmlformats.org/officeDocument/2006/relationships/table" Target="../tables/table21.xml"/>
</Relationships>
</file>

<file path=xl/worksheets/_rels/sheet21.xml.rels><?xml version="1.0" encoding="UTF-8"?>
<Relationships xmlns="http://schemas.openxmlformats.org/package/2006/relationships"><Relationship Id="rId1" Type="http://schemas.openxmlformats.org/officeDocument/2006/relationships/table" Target="../tables/table22.xml"/>
</Relationships>
</file>

<file path=xl/worksheets/_rels/sheet22.xml.rels><?xml version="1.0" encoding="UTF-8"?>
<Relationships xmlns="http://schemas.openxmlformats.org/package/2006/relationships"><Relationship Id="rId1" Type="http://schemas.openxmlformats.org/officeDocument/2006/relationships/table" Target="../tables/table17.xml"/>
</Relationships>
</file>

<file path=xl/worksheets/_rels/sheet23.xml.rels><?xml version="1.0" encoding="UTF-8"?>
<Relationships xmlns="http://schemas.openxmlformats.org/package/2006/relationships"><Relationship Id="rId1" Type="http://schemas.openxmlformats.org/officeDocument/2006/relationships/table" Target="../tables/table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7D92"/>
    <pageSetUpPr fitToPage="false"/>
  </sheetPr>
  <dimension ref="A1:F36"/>
  <sheetViews>
    <sheetView showFormulas="false" showGridLines="false" showRowColHeaders="true" showZeros="true" rightToLeft="false" tabSelected="true" showOutlineSymbols="true" defaultGridColor="true" view="normal" topLeftCell="A1" colorId="64" zoomScale="85" zoomScaleNormal="85"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2"/>
    <col collapsed="false" customWidth="true" hidden="false" outlineLevel="0" max="2" min="2" style="1" width="19"/>
    <col collapsed="false" customWidth="true" hidden="false" outlineLevel="0" max="3" min="3" style="1" width="20"/>
    <col collapsed="false" customWidth="true" hidden="false" outlineLevel="0" max="4" min="4" style="1" width="22"/>
    <col collapsed="false" customWidth="true" hidden="false" outlineLevel="0" max="5" min="5" style="1" width="25"/>
    <col collapsed="false" customWidth="true" hidden="false" outlineLevel="0" max="6" min="6" style="1" width="20"/>
  </cols>
  <sheetData>
    <row r="1" customFormat="false" ht="36" hidden="false" customHeight="true" outlineLevel="0" collapsed="false">
      <c r="A1" s="2" t="s">
        <v>0</v>
      </c>
      <c r="B1" s="2"/>
      <c r="C1" s="2"/>
      <c r="D1" s="2"/>
      <c r="E1" s="2"/>
      <c r="F1" s="2"/>
    </row>
    <row r="2" customFormat="false" ht="30" hidden="false" customHeight="true" outlineLevel="0" collapsed="false">
      <c r="A2" s="3" t="s">
        <v>1</v>
      </c>
      <c r="B2" s="3"/>
      <c r="C2" s="3"/>
      <c r="D2" s="3"/>
      <c r="E2" s="3"/>
      <c r="F2" s="3"/>
    </row>
    <row r="4" customFormat="false" ht="27.75" hidden="false" customHeight="true" outlineLevel="0" collapsed="false">
      <c r="A4" s="4" t="s">
        <v>2</v>
      </c>
      <c r="B4" s="5" t="n">
        <f aca="false">COUNTA('Missing lines'!$D$5:$D$80)</f>
        <v>76</v>
      </c>
      <c r="C4" s="4" t="s">
        <v>3</v>
      </c>
      <c r="D4" s="5" t="n">
        <f aca="false">COUNTA('Text-only review'!$D$5:$D$25)</f>
        <v>21</v>
      </c>
      <c r="E4" s="4" t="s">
        <v>4</v>
      </c>
      <c r="F4" s="5" t="n">
        <f aca="false">COUNTIF('Registry audit'!$E$5:$E$177,"Audio matched")</f>
        <v>119</v>
      </c>
    </row>
    <row r="5" customFormat="false" ht="15" hidden="false" customHeight="true" outlineLevel="0" collapsed="false">
      <c r="A5" s="6" t="s">
        <v>5</v>
      </c>
      <c r="B5" s="6"/>
      <c r="C5" s="6"/>
      <c r="D5" s="6"/>
      <c r="E5" s="6"/>
      <c r="F5" s="6"/>
    </row>
    <row r="7" customFormat="false" ht="31.5" hidden="false" customHeight="true" outlineLevel="0" collapsed="false">
      <c r="A7" s="7" t="s">
        <v>6</v>
      </c>
      <c r="B7" s="7" t="s">
        <v>7</v>
      </c>
      <c r="C7" s="7" t="s">
        <v>8</v>
      </c>
      <c r="D7" s="7" t="s">
        <v>9</v>
      </c>
      <c r="E7" s="7" t="s">
        <v>3</v>
      </c>
      <c r="F7" s="7" t="s">
        <v>10</v>
      </c>
    </row>
    <row r="8" customFormat="false" ht="24.75" hidden="false" customHeight="true" outlineLevel="0" collapsed="false">
      <c r="A8" s="8" t="n">
        <v>1</v>
      </c>
      <c r="B8" s="9" t="n">
        <f aca="false">COUNTIFS('Missing lines'!$B$5:$B$80,A8,'Missing lines'!$G$5:$G$80,"No matched audio")</f>
        <v>0</v>
      </c>
      <c r="C8" s="9" t="n">
        <f aca="false">COUNTIFS('Missing lines'!$B$5:$B$80,A8,'Missing lines'!$G$5:$G$80,"Not in voice manifest")</f>
        <v>3</v>
      </c>
      <c r="D8" s="10" t="n">
        <f aca="false">B8+C8</f>
        <v>3</v>
      </c>
      <c r="E8" s="9" t="n">
        <f aca="false">COUNTIF('Text-only review'!$B$5:$B$25,A8)</f>
        <v>12</v>
      </c>
      <c r="F8" s="9" t="n">
        <f aca="false">COUNTIFS('Missing lines'!$B$5:$B$80,A8,'Missing lines'!$H$5:$H$80,"Recorded")</f>
        <v>0</v>
      </c>
    </row>
    <row r="9" customFormat="false" ht="24.75" hidden="false" customHeight="true" outlineLevel="0" collapsed="false">
      <c r="A9" s="8" t="n">
        <v>2</v>
      </c>
      <c r="B9" s="9" t="n">
        <f aca="false">COUNTIFS('Missing lines'!$B$5:$B$80,A9,'Missing lines'!$G$5:$G$80,"No matched audio")</f>
        <v>3</v>
      </c>
      <c r="C9" s="9" t="n">
        <f aca="false">COUNTIFS('Missing lines'!$B$5:$B$80,A9,'Missing lines'!$G$5:$G$80,"Not in voice manifest")</f>
        <v>5</v>
      </c>
      <c r="D9" s="10" t="n">
        <f aca="false">B9+C9</f>
        <v>8</v>
      </c>
      <c r="E9" s="9" t="n">
        <f aca="false">COUNTIF('Text-only review'!$B$5:$B$25,A9)</f>
        <v>4</v>
      </c>
      <c r="F9" s="9" t="n">
        <f aca="false">COUNTIFS('Missing lines'!$B$5:$B$80,A9,'Missing lines'!$H$5:$H$80,"Recorded")</f>
        <v>0</v>
      </c>
    </row>
    <row r="10" customFormat="false" ht="24.75" hidden="false" customHeight="true" outlineLevel="0" collapsed="false">
      <c r="A10" s="8" t="n">
        <v>3</v>
      </c>
      <c r="B10" s="9" t="n">
        <f aca="false">COUNTIFS('Missing lines'!$B$5:$B$80,A10,'Missing lines'!$G$5:$G$80,"No matched audio")</f>
        <v>40</v>
      </c>
      <c r="C10" s="9" t="n">
        <f aca="false">COUNTIFS('Missing lines'!$B$5:$B$80,A10,'Missing lines'!$G$5:$G$80,"Not in voice manifest")</f>
        <v>9</v>
      </c>
      <c r="D10" s="10" t="n">
        <f aca="false">B10+C10</f>
        <v>49</v>
      </c>
      <c r="E10" s="9" t="n">
        <f aca="false">COUNTIF('Text-only review'!$B$5:$B$25,A10)</f>
        <v>2</v>
      </c>
      <c r="F10" s="9" t="n">
        <f aca="false">COUNTIFS('Missing lines'!$B$5:$B$80,A10,'Missing lines'!$H$5:$H$80,"Recorded")</f>
        <v>0</v>
      </c>
    </row>
    <row r="11" customFormat="false" ht="24.75" hidden="false" customHeight="true" outlineLevel="0" collapsed="false">
      <c r="A11" s="8" t="n">
        <v>4</v>
      </c>
      <c r="B11" s="9" t="n">
        <f aca="false">COUNTIFS('Missing lines'!$B$5:$B$80,A11,'Missing lines'!$G$5:$G$80,"No matched audio")</f>
        <v>9</v>
      </c>
      <c r="C11" s="9" t="n">
        <f aca="false">COUNTIFS('Missing lines'!$B$5:$B$80,A11,'Missing lines'!$G$5:$G$80,"Not in voice manifest")</f>
        <v>7</v>
      </c>
      <c r="D11" s="10" t="n">
        <f aca="false">B11+C11</f>
        <v>16</v>
      </c>
      <c r="E11" s="9" t="n">
        <f aca="false">COUNTIF('Text-only review'!$B$5:$B$25,A11)</f>
        <v>3</v>
      </c>
      <c r="F11" s="9" t="n">
        <f aca="false">COUNTIFS('Missing lines'!$B$5:$B$80,A11,'Missing lines'!$H$5:$H$80,"Recorded")</f>
        <v>0</v>
      </c>
    </row>
    <row r="14" customFormat="false" ht="30" hidden="false" customHeight="true" outlineLevel="0" collapsed="false">
      <c r="A14" s="11" t="s">
        <v>11</v>
      </c>
      <c r="B14" s="11" t="s">
        <v>12</v>
      </c>
      <c r="C14" s="11" t="s">
        <v>3</v>
      </c>
      <c r="D14" s="11" t="s">
        <v>13</v>
      </c>
      <c r="E14" s="11" t="s">
        <v>14</v>
      </c>
      <c r="F14" s="11"/>
    </row>
    <row r="15" customFormat="false" ht="24" hidden="false" customHeight="true" outlineLevel="0" collapsed="false">
      <c r="A15" s="1" t="s">
        <v>15</v>
      </c>
      <c r="B15" s="9" t="n">
        <f aca="false">COUNTIF('Missing lines'!$E$5:$E$80,A15)</f>
        <v>12</v>
      </c>
      <c r="C15" s="9" t="n">
        <f aca="false">COUNTIF('Text-only review'!$E$5:$E$25,A15)</f>
        <v>0</v>
      </c>
      <c r="D15" s="12" t="s">
        <v>15</v>
      </c>
      <c r="E15" s="1" t="s">
        <v>16</v>
      </c>
    </row>
    <row r="16" customFormat="false" ht="24" hidden="false" customHeight="true" outlineLevel="0" collapsed="false">
      <c r="A16" s="1" t="s">
        <v>17</v>
      </c>
      <c r="B16" s="9" t="n">
        <f aca="false">COUNTIF('Missing lines'!$E$5:$E$80,A16)</f>
        <v>3</v>
      </c>
      <c r="C16" s="9" t="n">
        <f aca="false">COUNTIF('Text-only review'!$E$5:$E$25,A16)</f>
        <v>0</v>
      </c>
      <c r="D16" s="12" t="s">
        <v>17</v>
      </c>
      <c r="E16" s="1" t="s">
        <v>16</v>
      </c>
    </row>
    <row r="17" customFormat="false" ht="24" hidden="false" customHeight="true" outlineLevel="0" collapsed="false">
      <c r="A17" s="1" t="s">
        <v>18</v>
      </c>
      <c r="B17" s="9" t="n">
        <f aca="false">COUNTIF('Missing lines'!$E$5:$E$80,A17)</f>
        <v>1</v>
      </c>
      <c r="C17" s="9" t="n">
        <f aca="false">COUNTIF('Text-only review'!$E$5:$E$25,A17)</f>
        <v>0</v>
      </c>
      <c r="D17" s="12" t="s">
        <v>18</v>
      </c>
      <c r="E17" s="1" t="s">
        <v>16</v>
      </c>
    </row>
    <row r="18" customFormat="false" ht="24" hidden="false" customHeight="true" outlineLevel="0" collapsed="false">
      <c r="A18" s="1" t="s">
        <v>19</v>
      </c>
      <c r="B18" s="9" t="n">
        <f aca="false">COUNTIF('Missing lines'!$E$5:$E$80,A18)</f>
        <v>1</v>
      </c>
      <c r="C18" s="9" t="n">
        <f aca="false">COUNTIF('Text-only review'!$E$5:$E$25,A18)</f>
        <v>0</v>
      </c>
      <c r="D18" s="12" t="s">
        <v>19</v>
      </c>
      <c r="E18" s="1" t="s">
        <v>16</v>
      </c>
    </row>
    <row r="19" customFormat="false" ht="24" hidden="false" customHeight="true" outlineLevel="0" collapsed="false">
      <c r="A19" s="1" t="s">
        <v>20</v>
      </c>
      <c r="B19" s="9" t="n">
        <f aca="false">COUNTIF('Missing lines'!$E$5:$E$80,A19)</f>
        <v>0</v>
      </c>
      <c r="C19" s="9" t="n">
        <f aca="false">COUNTIF('Text-only review'!$E$5:$E$25,A19)</f>
        <v>2</v>
      </c>
      <c r="D19" s="12" t="s">
        <v>20</v>
      </c>
      <c r="E19" s="1" t="s">
        <v>16</v>
      </c>
    </row>
    <row r="20" customFormat="false" ht="24" hidden="false" customHeight="true" outlineLevel="0" collapsed="false">
      <c r="A20" s="1" t="s">
        <v>21</v>
      </c>
      <c r="B20" s="9" t="n">
        <f aca="false">COUNTIF('Missing lines'!$E$5:$E$80,A20)</f>
        <v>1</v>
      </c>
      <c r="C20" s="9" t="n">
        <f aca="false">COUNTIF('Text-only review'!$E$5:$E$25,A20)</f>
        <v>0</v>
      </c>
      <c r="D20" s="12" t="s">
        <v>21</v>
      </c>
      <c r="E20" s="1" t="s">
        <v>16</v>
      </c>
    </row>
    <row r="21" customFormat="false" ht="24" hidden="false" customHeight="true" outlineLevel="0" collapsed="false">
      <c r="A21" s="1" t="s">
        <v>22</v>
      </c>
      <c r="B21" s="9" t="n">
        <f aca="false">COUNTIF('Missing lines'!$E$5:$E$80,A21)</f>
        <v>1</v>
      </c>
      <c r="C21" s="9" t="n">
        <f aca="false">COUNTIF('Text-only review'!$E$5:$E$25,A21)</f>
        <v>0</v>
      </c>
      <c r="D21" s="12" t="s">
        <v>22</v>
      </c>
      <c r="E21" s="1" t="s">
        <v>16</v>
      </c>
    </row>
    <row r="22" customFormat="false" ht="24" hidden="false" customHeight="true" outlineLevel="0" collapsed="false">
      <c r="A22" s="1" t="s">
        <v>23</v>
      </c>
      <c r="B22" s="9" t="n">
        <f aca="false">COUNTIF('Missing lines'!$E$5:$E$80,A22)</f>
        <v>2</v>
      </c>
      <c r="C22" s="9" t="n">
        <f aca="false">COUNTIF('Text-only review'!$E$5:$E$25,A22)</f>
        <v>0</v>
      </c>
      <c r="D22" s="12" t="s">
        <v>23</v>
      </c>
      <c r="E22" s="1" t="s">
        <v>16</v>
      </c>
    </row>
    <row r="23" customFormat="false" ht="24" hidden="false" customHeight="true" outlineLevel="0" collapsed="false">
      <c r="A23" s="1" t="s">
        <v>24</v>
      </c>
      <c r="B23" s="9" t="n">
        <f aca="false">COUNTIF('Missing lines'!$E$5:$E$80,A23)</f>
        <v>14</v>
      </c>
      <c r="C23" s="9" t="n">
        <f aca="false">COUNTIF('Text-only review'!$E$5:$E$25,A23)</f>
        <v>0</v>
      </c>
      <c r="D23" s="12" t="s">
        <v>24</v>
      </c>
      <c r="E23" s="1" t="s">
        <v>16</v>
      </c>
    </row>
    <row r="24" customFormat="false" ht="24" hidden="false" customHeight="true" outlineLevel="0" collapsed="false">
      <c r="A24" s="1" t="s">
        <v>25</v>
      </c>
      <c r="B24" s="9" t="n">
        <f aca="false">COUNTIF('Missing lines'!$E$5:$E$80,A24)</f>
        <v>0</v>
      </c>
      <c r="C24" s="9" t="n">
        <f aca="false">COUNTIF('Text-only review'!$E$5:$E$25,A24)</f>
        <v>7</v>
      </c>
      <c r="D24" s="12" t="s">
        <v>25</v>
      </c>
      <c r="E24" s="1" t="s">
        <v>16</v>
      </c>
    </row>
    <row r="25" customFormat="false" ht="24" hidden="false" customHeight="true" outlineLevel="0" collapsed="false">
      <c r="A25" s="1" t="s">
        <v>26</v>
      </c>
      <c r="B25" s="9" t="n">
        <f aca="false">COUNTIF('Missing lines'!$E$5:$E$80,A25)</f>
        <v>0</v>
      </c>
      <c r="C25" s="9" t="n">
        <f aca="false">COUNTIF('Text-only review'!$E$5:$E$25,A25)</f>
        <v>3</v>
      </c>
      <c r="D25" s="12" t="s">
        <v>26</v>
      </c>
      <c r="E25" s="1" t="s">
        <v>16</v>
      </c>
    </row>
    <row r="26" customFormat="false" ht="24" hidden="false" customHeight="true" outlineLevel="0" collapsed="false">
      <c r="A26" s="1" t="s">
        <v>27</v>
      </c>
      <c r="B26" s="9" t="n">
        <f aca="false">COUNTIF('Missing lines'!$E$5:$E$80,A26)</f>
        <v>1</v>
      </c>
      <c r="C26" s="9" t="n">
        <f aca="false">COUNTIF('Text-only review'!$E$5:$E$25,A26)</f>
        <v>0</v>
      </c>
      <c r="D26" s="12" t="s">
        <v>27</v>
      </c>
      <c r="E26" s="1" t="s">
        <v>16</v>
      </c>
    </row>
    <row r="27" customFormat="false" ht="24" hidden="false" customHeight="true" outlineLevel="0" collapsed="false">
      <c r="A27" s="1" t="s">
        <v>28</v>
      </c>
      <c r="B27" s="9" t="n">
        <f aca="false">COUNTIF('Missing lines'!$E$5:$E$80,A27)</f>
        <v>1</v>
      </c>
      <c r="C27" s="9" t="n">
        <f aca="false">COUNTIF('Text-only review'!$E$5:$E$25,A27)</f>
        <v>0</v>
      </c>
      <c r="D27" s="12" t="s">
        <v>28</v>
      </c>
      <c r="E27" s="1" t="s">
        <v>16</v>
      </c>
    </row>
    <row r="28" customFormat="false" ht="24" hidden="false" customHeight="true" outlineLevel="0" collapsed="false">
      <c r="A28" s="1" t="s">
        <v>29</v>
      </c>
      <c r="B28" s="9" t="n">
        <f aca="false">COUNTIF('Missing lines'!$E$5:$E$80,A28)</f>
        <v>3</v>
      </c>
      <c r="C28" s="9" t="n">
        <f aca="false">COUNTIF('Text-only review'!$E$5:$E$25,A28)</f>
        <v>0</v>
      </c>
      <c r="D28" s="12" t="s">
        <v>29</v>
      </c>
      <c r="E28" s="1" t="s">
        <v>16</v>
      </c>
    </row>
    <row r="29" customFormat="false" ht="24" hidden="false" customHeight="true" outlineLevel="0" collapsed="false">
      <c r="A29" s="1" t="s">
        <v>30</v>
      </c>
      <c r="B29" s="9" t="n">
        <f aca="false">COUNTIF('Missing lines'!$E$5:$E$80,A29)</f>
        <v>1</v>
      </c>
      <c r="C29" s="9" t="n">
        <f aca="false">COUNTIF('Text-only review'!$E$5:$E$25,A29)</f>
        <v>0</v>
      </c>
      <c r="D29" s="12" t="s">
        <v>30</v>
      </c>
      <c r="E29" s="1" t="s">
        <v>16</v>
      </c>
    </row>
    <row r="30" customFormat="false" ht="24" hidden="false" customHeight="true" outlineLevel="0" collapsed="false">
      <c r="A30" s="1" t="s">
        <v>31</v>
      </c>
      <c r="B30" s="9" t="n">
        <f aca="false">COUNTIF('Missing lines'!$E$5:$E$80,A30)</f>
        <v>0</v>
      </c>
      <c r="C30" s="9" t="n">
        <f aca="false">COUNTIF('Text-only review'!$E$5:$E$25,A30)</f>
        <v>9</v>
      </c>
      <c r="D30" s="12" t="s">
        <v>31</v>
      </c>
      <c r="E30" s="1" t="s">
        <v>32</v>
      </c>
    </row>
    <row r="31" customFormat="false" ht="24" hidden="false" customHeight="true" outlineLevel="0" collapsed="false">
      <c r="A31" s="1" t="s">
        <v>33</v>
      </c>
      <c r="B31" s="9" t="n">
        <f aca="false">COUNTIF('Missing lines'!$E$5:$E$80,A31)</f>
        <v>4</v>
      </c>
      <c r="C31" s="9" t="n">
        <f aca="false">COUNTIF('Text-only review'!$E$5:$E$25,A31)</f>
        <v>0</v>
      </c>
      <c r="D31" s="12" t="s">
        <v>33</v>
      </c>
      <c r="E31" s="1" t="s">
        <v>16</v>
      </c>
    </row>
    <row r="32" customFormat="false" ht="24" hidden="false" customHeight="true" outlineLevel="0" collapsed="false">
      <c r="A32" s="1" t="s">
        <v>34</v>
      </c>
      <c r="B32" s="9" t="n">
        <f aca="false">COUNTIF('Missing lines'!$E$5:$E$80,A32)</f>
        <v>31</v>
      </c>
      <c r="C32" s="9" t="n">
        <f aca="false">COUNTIF('Text-only review'!$E$5:$E$25,A32)</f>
        <v>0</v>
      </c>
      <c r="D32" s="12" t="s">
        <v>34</v>
      </c>
      <c r="E32" s="1" t="s">
        <v>16</v>
      </c>
    </row>
    <row r="35" customFormat="false" ht="15" hidden="false" customHeight="true" outlineLevel="0" collapsed="false">
      <c r="A35" s="13" t="s">
        <v>35</v>
      </c>
      <c r="B35" s="13"/>
      <c r="C35" s="13"/>
      <c r="D35" s="13"/>
      <c r="E35" s="13"/>
      <c r="F35" s="13"/>
    </row>
    <row r="36" customFormat="false" ht="15" hidden="false" customHeight="true" outlineLevel="0" collapsed="false">
      <c r="A36" s="6" t="s">
        <v>36</v>
      </c>
      <c r="B36" s="6"/>
      <c r="C36" s="6"/>
      <c r="D36" s="6"/>
      <c r="E36" s="6"/>
      <c r="F36" s="6"/>
    </row>
  </sheetData>
  <mergeCells count="5">
    <mergeCell ref="A1:F1"/>
    <mergeCell ref="A2:F2"/>
    <mergeCell ref="A5:F5"/>
    <mergeCell ref="A35:F35"/>
    <mergeCell ref="A36:F36"/>
  </mergeCells>
  <hyperlinks>
    <hyperlink ref="D15" r:id="rId2" location="'Balaceanu'!A1" display="Balaceanu"/>
    <hyperlink ref="D16" r:id="rId3" location="'Biribel'!A1" display="Biribel"/>
    <hyperlink ref="D17" r:id="rId4" location="'Darius'!A1" display="Darius"/>
    <hyperlink ref="D18" r:id="rId5" location="'Gabi'!A1" display="Gabi"/>
    <hyperlink ref="D19" r:id="rId6" location="'Hungry%20Kid'!A1" display="Hungry Kid"/>
    <hyperlink ref="D20" r:id="rId7" location="'IPA%20Dispatch'!A1" display="IPA Dispatch"/>
    <hyperlink ref="D21" r:id="rId8" location="'Intercept%20Operator'!A1" display="Intercept Operator"/>
    <hyperlink ref="D22" r:id="rId9" location="'Loyalist%20Comms'!A1" display="Loyalist Comms"/>
    <hyperlink ref="D23" r:id="rId10" location="'Maru'!A1" display="Maru"/>
    <hyperlink ref="D24" r:id="rId11" location="'Old%20Fisherman'!A1" display="Old Fisherman"/>
    <hyperlink ref="D25" r:id="rId12" location="'Old%20Woman'!A1" display="Old Woman"/>
    <hyperlink ref="D26" r:id="rId13" location="'PA%20System'!A1" display="PA System"/>
    <hyperlink ref="D27" r:id="rId14" location="'President%20Retardovici'!A1" display="President Retardovici"/>
    <hyperlink ref="D28" r:id="rId15" location="'Presidential%20PA'!A1" display="Presidential PA"/>
    <hyperlink ref="D29" r:id="rId16" location="'Seby'!A1" display="Seby"/>
    <hyperlink ref="D30" r:id="rId17" location="'System'!A1" display="System"/>
    <hyperlink ref="D31" r:id="rId18" location="'Vasile'!A1" display="Vasile"/>
    <hyperlink ref="D32" r:id="rId19" location="'Volkov'!A1" display="Volkov"/>
    <hyperlink ref="A35" r:id="rId20" location="'Sources%20&amp;%20Read%20me'!A1" display="START HERE → Sources &amp; Read m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7D92"/>
    <pageSetUpPr fitToPage="false"/>
  </sheetPr>
  <dimension ref="A1:J80"/>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11"/>
    <col collapsed="false" customWidth="true" hidden="false" outlineLevel="0" max="3" min="3" style="1" width="36"/>
    <col collapsed="false" customWidth="true" hidden="false" outlineLevel="0" max="4" min="4" style="1" width="14"/>
    <col collapsed="false" customWidth="true" hidden="false" outlineLevel="0" max="5" min="5" style="1" width="23"/>
    <col collapsed="false" customWidth="true" hidden="false" outlineLevel="0" max="6" min="6" style="1" width="86"/>
    <col collapsed="false" customWidth="true" hidden="false" outlineLevel="0" max="7" min="7" style="1" width="27"/>
    <col collapsed="false" customWidth="true" hidden="false" outlineLevel="0" max="8" min="8" style="1" width="21"/>
    <col collapsed="false" customWidth="true" hidden="false" outlineLevel="0" max="9" min="9" style="1" width="74"/>
    <col collapsed="false" customWidth="true" hidden="false" outlineLevel="0" max="10" min="10" style="1" width="72"/>
  </cols>
  <sheetData>
    <row r="1" customFormat="false" ht="33.75" hidden="false" customHeight="true" outlineLevel="0" collapsed="false">
      <c r="A1" s="14" t="s">
        <v>37</v>
      </c>
      <c r="B1" s="14"/>
      <c r="C1" s="14"/>
      <c r="D1" s="14"/>
      <c r="E1" s="14"/>
      <c r="F1" s="14"/>
      <c r="G1" s="14"/>
      <c r="H1" s="14"/>
      <c r="I1" s="14"/>
      <c r="J1" s="14"/>
    </row>
    <row r="2" customFormat="false" ht="27" hidden="false" customHeight="true" outlineLevel="0" collapsed="false">
      <c r="A2" s="3" t="s">
        <v>38</v>
      </c>
      <c r="B2" s="3"/>
      <c r="C2" s="3"/>
      <c r="D2" s="3"/>
      <c r="E2" s="3"/>
      <c r="F2" s="3"/>
      <c r="G2" s="3"/>
      <c r="H2" s="3"/>
      <c r="I2" s="3"/>
      <c r="J2" s="3"/>
    </row>
    <row r="3" customFormat="false" ht="21.75" hidden="false" customHeight="true" outlineLevel="0" collapsed="false">
      <c r="A3" s="3" t="s">
        <v>39</v>
      </c>
      <c r="B3" s="3"/>
      <c r="C3" s="3"/>
      <c r="D3" s="3"/>
      <c r="E3" s="3"/>
      <c r="F3" s="3"/>
      <c r="G3" s="3"/>
      <c r="H3" s="3"/>
      <c r="I3" s="3"/>
      <c r="J3" s="3"/>
    </row>
    <row r="4" customFormat="false" ht="30" hidden="false" customHeight="true" outlineLevel="0" collapsed="false">
      <c r="A4" s="15" t="s">
        <v>40</v>
      </c>
      <c r="B4" s="15" t="s">
        <v>6</v>
      </c>
      <c r="C4" s="15" t="s">
        <v>41</v>
      </c>
      <c r="D4" s="15" t="s">
        <v>42</v>
      </c>
      <c r="E4" s="15" t="s">
        <v>43</v>
      </c>
      <c r="F4" s="15" t="s">
        <v>44</v>
      </c>
      <c r="G4" s="15" t="s">
        <v>45</v>
      </c>
      <c r="H4" s="15" t="s">
        <v>46</v>
      </c>
      <c r="I4" s="15" t="s">
        <v>47</v>
      </c>
      <c r="J4" s="15" t="s">
        <v>48</v>
      </c>
    </row>
    <row r="5" customFormat="false" ht="55.5" hidden="false" customHeight="true" outlineLevel="0" collapsed="false">
      <c r="A5" s="16" t="n">
        <v>1</v>
      </c>
      <c r="B5" s="17" t="n">
        <v>1</v>
      </c>
      <c r="C5" s="18" t="s">
        <v>49</v>
      </c>
      <c r="D5" s="19" t="s">
        <v>50</v>
      </c>
      <c r="E5" s="18" t="s">
        <v>17</v>
      </c>
      <c r="F5" s="18" t="s">
        <v>51</v>
      </c>
      <c r="G5" s="18" t="s">
        <v>52</v>
      </c>
      <c r="H5" s="18" t="s">
        <v>53</v>
      </c>
      <c r="I5" s="18" t="s">
        <v>54</v>
      </c>
      <c r="J5" s="20" t="s">
        <v>55</v>
      </c>
    </row>
    <row r="6" customFormat="false" ht="55.5" hidden="false" customHeight="true" outlineLevel="0" collapsed="false">
      <c r="A6" s="16" t="n">
        <v>2</v>
      </c>
      <c r="B6" s="17" t="n">
        <v>1</v>
      </c>
      <c r="C6" s="18" t="s">
        <v>49</v>
      </c>
      <c r="D6" s="19" t="s">
        <v>56</v>
      </c>
      <c r="E6" s="18" t="s">
        <v>17</v>
      </c>
      <c r="F6" s="18" t="s">
        <v>57</v>
      </c>
      <c r="G6" s="18" t="s">
        <v>52</v>
      </c>
      <c r="H6" s="18" t="s">
        <v>53</v>
      </c>
      <c r="I6" s="18" t="s">
        <v>54</v>
      </c>
      <c r="J6" s="20" t="s">
        <v>58</v>
      </c>
    </row>
    <row r="7" customFormat="false" ht="55.5" hidden="false" customHeight="true" outlineLevel="0" collapsed="false">
      <c r="A7" s="16" t="n">
        <v>3</v>
      </c>
      <c r="B7" s="17" t="n">
        <v>1</v>
      </c>
      <c r="C7" s="18" t="s">
        <v>49</v>
      </c>
      <c r="D7" s="19" t="s">
        <v>59</v>
      </c>
      <c r="E7" s="18" t="s">
        <v>17</v>
      </c>
      <c r="F7" s="18" t="s">
        <v>60</v>
      </c>
      <c r="G7" s="18" t="s">
        <v>52</v>
      </c>
      <c r="H7" s="18" t="s">
        <v>53</v>
      </c>
      <c r="I7" s="18" t="s">
        <v>54</v>
      </c>
      <c r="J7" s="20" t="s">
        <v>61</v>
      </c>
    </row>
    <row r="8" customFormat="false" ht="55.5" hidden="false" customHeight="true" outlineLevel="0" collapsed="false">
      <c r="A8" s="16" t="n">
        <v>4</v>
      </c>
      <c r="B8" s="17" t="n">
        <v>2</v>
      </c>
      <c r="C8" s="18" t="s">
        <v>62</v>
      </c>
      <c r="D8" s="19" t="s">
        <v>63</v>
      </c>
      <c r="E8" s="18" t="s">
        <v>33</v>
      </c>
      <c r="F8" s="18" t="s">
        <v>64</v>
      </c>
      <c r="G8" s="18" t="s">
        <v>52</v>
      </c>
      <c r="H8" s="18" t="s">
        <v>53</v>
      </c>
      <c r="I8" s="18" t="s">
        <v>65</v>
      </c>
      <c r="J8" s="20" t="s">
        <v>66</v>
      </c>
    </row>
    <row r="9" customFormat="false" ht="55.5" hidden="false" customHeight="true" outlineLevel="0" collapsed="false">
      <c r="A9" s="16" t="n">
        <v>5</v>
      </c>
      <c r="B9" s="17" t="n">
        <v>2</v>
      </c>
      <c r="C9" s="18" t="s">
        <v>67</v>
      </c>
      <c r="D9" s="19" t="s">
        <v>68</v>
      </c>
      <c r="E9" s="18" t="s">
        <v>19</v>
      </c>
      <c r="F9" s="18" t="s">
        <v>69</v>
      </c>
      <c r="G9" s="18" t="s">
        <v>52</v>
      </c>
      <c r="H9" s="18" t="s">
        <v>53</v>
      </c>
      <c r="I9" s="18" t="s">
        <v>65</v>
      </c>
      <c r="J9" s="20" t="s">
        <v>70</v>
      </c>
    </row>
    <row r="10" customFormat="false" ht="55.5" hidden="false" customHeight="true" outlineLevel="0" collapsed="false">
      <c r="A10" s="16" t="n">
        <v>6</v>
      </c>
      <c r="B10" s="17" t="n">
        <v>2</v>
      </c>
      <c r="C10" s="18" t="s">
        <v>71</v>
      </c>
      <c r="D10" s="19" t="s">
        <v>72</v>
      </c>
      <c r="E10" s="18" t="s">
        <v>18</v>
      </c>
      <c r="F10" s="18" t="s">
        <v>73</v>
      </c>
      <c r="G10" s="18" t="s">
        <v>52</v>
      </c>
      <c r="H10" s="18" t="s">
        <v>53</v>
      </c>
      <c r="I10" s="18" t="s">
        <v>65</v>
      </c>
      <c r="J10" s="20" t="s">
        <v>74</v>
      </c>
    </row>
    <row r="11" customFormat="false" ht="55.5" hidden="false" customHeight="true" outlineLevel="0" collapsed="false">
      <c r="A11" s="16" t="n">
        <v>7</v>
      </c>
      <c r="B11" s="17" t="n">
        <v>2</v>
      </c>
      <c r="C11" s="18" t="s">
        <v>62</v>
      </c>
      <c r="D11" s="19" t="s">
        <v>75</v>
      </c>
      <c r="E11" s="18" t="s">
        <v>33</v>
      </c>
      <c r="F11" s="18" t="s">
        <v>76</v>
      </c>
      <c r="G11" s="18" t="s">
        <v>52</v>
      </c>
      <c r="H11" s="18" t="s">
        <v>53</v>
      </c>
      <c r="I11" s="18" t="s">
        <v>65</v>
      </c>
      <c r="J11" s="20" t="s">
        <v>77</v>
      </c>
    </row>
    <row r="12" customFormat="false" ht="55.5" hidden="false" customHeight="true" outlineLevel="0" collapsed="false">
      <c r="A12" s="16" t="n">
        <v>8</v>
      </c>
      <c r="B12" s="17" t="n">
        <v>2</v>
      </c>
      <c r="C12" s="18" t="s">
        <v>78</v>
      </c>
      <c r="D12" s="19" t="s">
        <v>79</v>
      </c>
      <c r="E12" s="18" t="s">
        <v>30</v>
      </c>
      <c r="F12" s="18" t="s">
        <v>80</v>
      </c>
      <c r="G12" s="18" t="s">
        <v>52</v>
      </c>
      <c r="H12" s="18" t="s">
        <v>53</v>
      </c>
      <c r="I12" s="18" t="s">
        <v>65</v>
      </c>
      <c r="J12" s="20" t="s">
        <v>81</v>
      </c>
    </row>
    <row r="13" customFormat="false" ht="48" hidden="false" customHeight="true" outlineLevel="0" collapsed="false">
      <c r="A13" s="16" t="n">
        <v>9</v>
      </c>
      <c r="B13" s="17" t="n">
        <v>2</v>
      </c>
      <c r="C13" s="18" t="s">
        <v>82</v>
      </c>
      <c r="D13" s="19" t="s">
        <v>83</v>
      </c>
      <c r="E13" s="18" t="s">
        <v>28</v>
      </c>
      <c r="F13" s="18" t="s">
        <v>84</v>
      </c>
      <c r="G13" s="18" t="s">
        <v>85</v>
      </c>
      <c r="H13" s="18" t="s">
        <v>53</v>
      </c>
      <c r="I13" s="18" t="s">
        <v>86</v>
      </c>
      <c r="J13" s="20" t="s">
        <v>87</v>
      </c>
    </row>
    <row r="14" customFormat="false" ht="48" hidden="false" customHeight="true" outlineLevel="0" collapsed="false">
      <c r="A14" s="16" t="n">
        <v>10</v>
      </c>
      <c r="B14" s="17" t="n">
        <v>2</v>
      </c>
      <c r="C14" s="18" t="s">
        <v>88</v>
      </c>
      <c r="D14" s="19" t="s">
        <v>89</v>
      </c>
      <c r="E14" s="18" t="s">
        <v>15</v>
      </c>
      <c r="F14" s="18" t="s">
        <v>90</v>
      </c>
      <c r="G14" s="18" t="s">
        <v>85</v>
      </c>
      <c r="H14" s="18" t="s">
        <v>53</v>
      </c>
      <c r="I14" s="18" t="s">
        <v>86</v>
      </c>
      <c r="J14" s="20" t="s">
        <v>91</v>
      </c>
    </row>
    <row r="15" customFormat="false" ht="48" hidden="false" customHeight="true" outlineLevel="0" collapsed="false">
      <c r="A15" s="16" t="n">
        <v>11</v>
      </c>
      <c r="B15" s="17" t="n">
        <v>2</v>
      </c>
      <c r="C15" s="18" t="s">
        <v>92</v>
      </c>
      <c r="D15" s="19" t="s">
        <v>93</v>
      </c>
      <c r="E15" s="18" t="s">
        <v>21</v>
      </c>
      <c r="F15" s="18" t="s">
        <v>94</v>
      </c>
      <c r="G15" s="18" t="s">
        <v>85</v>
      </c>
      <c r="H15" s="18" t="s">
        <v>53</v>
      </c>
      <c r="I15" s="18" t="s">
        <v>86</v>
      </c>
      <c r="J15" s="20" t="s">
        <v>95</v>
      </c>
    </row>
    <row r="16" customFormat="false" ht="55.5" hidden="false" customHeight="true" outlineLevel="0" collapsed="false">
      <c r="A16" s="16" t="n">
        <v>12</v>
      </c>
      <c r="B16" s="17" t="n">
        <v>3</v>
      </c>
      <c r="C16" s="18" t="s">
        <v>96</v>
      </c>
      <c r="D16" s="19" t="s">
        <v>97</v>
      </c>
      <c r="E16" s="18" t="s">
        <v>15</v>
      </c>
      <c r="F16" s="18" t="s">
        <v>98</v>
      </c>
      <c r="G16" s="18" t="s">
        <v>85</v>
      </c>
      <c r="H16" s="18" t="s">
        <v>53</v>
      </c>
      <c r="I16" s="18" t="s">
        <v>86</v>
      </c>
      <c r="J16" s="20" t="s">
        <v>99</v>
      </c>
    </row>
    <row r="17" customFormat="false" ht="55.5" hidden="false" customHeight="true" outlineLevel="0" collapsed="false">
      <c r="A17" s="16" t="n">
        <v>13</v>
      </c>
      <c r="B17" s="17" t="n">
        <v>3</v>
      </c>
      <c r="C17" s="18" t="s">
        <v>100</v>
      </c>
      <c r="D17" s="19" t="s">
        <v>101</v>
      </c>
      <c r="E17" s="18" t="s">
        <v>15</v>
      </c>
      <c r="F17" s="18" t="s">
        <v>102</v>
      </c>
      <c r="G17" s="18" t="s">
        <v>85</v>
      </c>
      <c r="H17" s="18" t="s">
        <v>53</v>
      </c>
      <c r="I17" s="18" t="s">
        <v>103</v>
      </c>
      <c r="J17" s="20" t="s">
        <v>104</v>
      </c>
    </row>
    <row r="18" customFormat="false" ht="48" hidden="false" customHeight="true" outlineLevel="0" collapsed="false">
      <c r="A18" s="16" t="n">
        <v>14</v>
      </c>
      <c r="B18" s="17" t="n">
        <v>3</v>
      </c>
      <c r="C18" s="18" t="s">
        <v>105</v>
      </c>
      <c r="D18" s="19" t="s">
        <v>106</v>
      </c>
      <c r="E18" s="18" t="s">
        <v>15</v>
      </c>
      <c r="F18" s="18" t="s">
        <v>107</v>
      </c>
      <c r="G18" s="18" t="s">
        <v>85</v>
      </c>
      <c r="H18" s="18" t="s">
        <v>53</v>
      </c>
      <c r="I18" s="18" t="s">
        <v>86</v>
      </c>
      <c r="J18" s="20" t="s">
        <v>108</v>
      </c>
    </row>
    <row r="19" customFormat="false" ht="48" hidden="false" customHeight="true" outlineLevel="0" collapsed="false">
      <c r="A19" s="16" t="n">
        <v>15</v>
      </c>
      <c r="B19" s="17" t="n">
        <v>3</v>
      </c>
      <c r="C19" s="18" t="s">
        <v>105</v>
      </c>
      <c r="D19" s="19" t="s">
        <v>109</v>
      </c>
      <c r="E19" s="18" t="s">
        <v>15</v>
      </c>
      <c r="F19" s="18" t="s">
        <v>110</v>
      </c>
      <c r="G19" s="18" t="s">
        <v>85</v>
      </c>
      <c r="H19" s="18" t="s">
        <v>53</v>
      </c>
      <c r="I19" s="18" t="s">
        <v>86</v>
      </c>
      <c r="J19" s="20" t="s">
        <v>111</v>
      </c>
    </row>
    <row r="20" customFormat="false" ht="48" hidden="false" customHeight="true" outlineLevel="0" collapsed="false">
      <c r="A20" s="16" t="n">
        <v>16</v>
      </c>
      <c r="B20" s="17" t="n">
        <v>3</v>
      </c>
      <c r="C20" s="18" t="s">
        <v>105</v>
      </c>
      <c r="D20" s="19" t="s">
        <v>112</v>
      </c>
      <c r="E20" s="18" t="s">
        <v>15</v>
      </c>
      <c r="F20" s="18" t="s">
        <v>113</v>
      </c>
      <c r="G20" s="18" t="s">
        <v>85</v>
      </c>
      <c r="H20" s="18" t="s">
        <v>53</v>
      </c>
      <c r="I20" s="18" t="s">
        <v>86</v>
      </c>
      <c r="J20" s="20" t="s">
        <v>114</v>
      </c>
    </row>
    <row r="21" customFormat="false" ht="48" hidden="false" customHeight="true" outlineLevel="0" collapsed="false">
      <c r="A21" s="16" t="n">
        <v>17</v>
      </c>
      <c r="B21" s="17" t="n">
        <v>3</v>
      </c>
      <c r="C21" s="18" t="s">
        <v>115</v>
      </c>
      <c r="D21" s="19" t="s">
        <v>116</v>
      </c>
      <c r="E21" s="18" t="s">
        <v>15</v>
      </c>
      <c r="F21" s="18" t="s">
        <v>117</v>
      </c>
      <c r="G21" s="18" t="s">
        <v>85</v>
      </c>
      <c r="H21" s="18" t="s">
        <v>53</v>
      </c>
      <c r="I21" s="18" t="s">
        <v>86</v>
      </c>
      <c r="J21" s="20" t="s">
        <v>118</v>
      </c>
    </row>
    <row r="22" customFormat="false" ht="48" hidden="false" customHeight="true" outlineLevel="0" collapsed="false">
      <c r="A22" s="16" t="n">
        <v>18</v>
      </c>
      <c r="B22" s="17" t="n">
        <v>3</v>
      </c>
      <c r="C22" s="18" t="s">
        <v>119</v>
      </c>
      <c r="D22" s="19" t="s">
        <v>120</v>
      </c>
      <c r="E22" s="18" t="s">
        <v>34</v>
      </c>
      <c r="F22" s="18" t="s">
        <v>121</v>
      </c>
      <c r="G22" s="18" t="s">
        <v>85</v>
      </c>
      <c r="H22" s="18" t="s">
        <v>53</v>
      </c>
      <c r="I22" s="18" t="s">
        <v>86</v>
      </c>
      <c r="J22" s="20" t="s">
        <v>122</v>
      </c>
    </row>
    <row r="23" customFormat="false" ht="48" hidden="false" customHeight="true" outlineLevel="0" collapsed="false">
      <c r="A23" s="16" t="n">
        <v>19</v>
      </c>
      <c r="B23" s="17" t="n">
        <v>3</v>
      </c>
      <c r="C23" s="18" t="s">
        <v>123</v>
      </c>
      <c r="D23" s="19" t="s">
        <v>124</v>
      </c>
      <c r="E23" s="18" t="s">
        <v>34</v>
      </c>
      <c r="F23" s="18" t="s">
        <v>125</v>
      </c>
      <c r="G23" s="18" t="s">
        <v>85</v>
      </c>
      <c r="H23" s="18" t="s">
        <v>53</v>
      </c>
      <c r="I23" s="18" t="s">
        <v>86</v>
      </c>
      <c r="J23" s="20" t="s">
        <v>126</v>
      </c>
    </row>
    <row r="24" customFormat="false" ht="48" hidden="false" customHeight="true" outlineLevel="0" collapsed="false">
      <c r="A24" s="16" t="n">
        <v>20</v>
      </c>
      <c r="B24" s="17" t="n">
        <v>3</v>
      </c>
      <c r="C24" s="18" t="s">
        <v>127</v>
      </c>
      <c r="D24" s="19" t="s">
        <v>128</v>
      </c>
      <c r="E24" s="18" t="s">
        <v>34</v>
      </c>
      <c r="F24" s="18" t="s">
        <v>129</v>
      </c>
      <c r="G24" s="18" t="s">
        <v>85</v>
      </c>
      <c r="H24" s="18" t="s">
        <v>53</v>
      </c>
      <c r="I24" s="18" t="s">
        <v>86</v>
      </c>
      <c r="J24" s="20" t="s">
        <v>130</v>
      </c>
    </row>
    <row r="25" customFormat="false" ht="48" hidden="false" customHeight="true" outlineLevel="0" collapsed="false">
      <c r="A25" s="16" t="n">
        <v>21</v>
      </c>
      <c r="B25" s="17" t="n">
        <v>3</v>
      </c>
      <c r="C25" s="18" t="s">
        <v>131</v>
      </c>
      <c r="D25" s="19" t="s">
        <v>132</v>
      </c>
      <c r="E25" s="18" t="s">
        <v>34</v>
      </c>
      <c r="F25" s="18" t="s">
        <v>133</v>
      </c>
      <c r="G25" s="18" t="s">
        <v>85</v>
      </c>
      <c r="H25" s="18" t="s">
        <v>53</v>
      </c>
      <c r="I25" s="18" t="s">
        <v>86</v>
      </c>
      <c r="J25" s="20" t="s">
        <v>134</v>
      </c>
    </row>
    <row r="26" customFormat="false" ht="48" hidden="false" customHeight="true" outlineLevel="0" collapsed="false">
      <c r="A26" s="16" t="n">
        <v>22</v>
      </c>
      <c r="B26" s="17" t="n">
        <v>3</v>
      </c>
      <c r="C26" s="18" t="s">
        <v>135</v>
      </c>
      <c r="D26" s="19" t="s">
        <v>136</v>
      </c>
      <c r="E26" s="18" t="s">
        <v>34</v>
      </c>
      <c r="F26" s="18" t="s">
        <v>137</v>
      </c>
      <c r="G26" s="18" t="s">
        <v>85</v>
      </c>
      <c r="H26" s="18" t="s">
        <v>53</v>
      </c>
      <c r="I26" s="18" t="s">
        <v>138</v>
      </c>
      <c r="J26" s="20" t="s">
        <v>139</v>
      </c>
    </row>
    <row r="27" customFormat="false" ht="48" hidden="false" customHeight="true" outlineLevel="0" collapsed="false">
      <c r="A27" s="16" t="n">
        <v>23</v>
      </c>
      <c r="B27" s="17" t="n">
        <v>3</v>
      </c>
      <c r="C27" s="18" t="s">
        <v>140</v>
      </c>
      <c r="D27" s="19" t="s">
        <v>141</v>
      </c>
      <c r="E27" s="18" t="s">
        <v>34</v>
      </c>
      <c r="F27" s="18" t="s">
        <v>142</v>
      </c>
      <c r="G27" s="18" t="s">
        <v>85</v>
      </c>
      <c r="H27" s="18" t="s">
        <v>53</v>
      </c>
      <c r="I27" s="18" t="s">
        <v>86</v>
      </c>
      <c r="J27" s="20" t="s">
        <v>143</v>
      </c>
    </row>
    <row r="28" customFormat="false" ht="48" hidden="false" customHeight="true" outlineLevel="0" collapsed="false">
      <c r="A28" s="16" t="n">
        <v>24</v>
      </c>
      <c r="B28" s="17" t="n">
        <v>3</v>
      </c>
      <c r="C28" s="18" t="s">
        <v>144</v>
      </c>
      <c r="D28" s="19" t="s">
        <v>145</v>
      </c>
      <c r="E28" s="18" t="s">
        <v>27</v>
      </c>
      <c r="F28" s="18" t="s">
        <v>146</v>
      </c>
      <c r="G28" s="18" t="s">
        <v>85</v>
      </c>
      <c r="H28" s="18" t="s">
        <v>53</v>
      </c>
      <c r="I28" s="18" t="s">
        <v>147</v>
      </c>
      <c r="J28" s="20" t="s">
        <v>148</v>
      </c>
    </row>
    <row r="29" customFormat="false" ht="48" hidden="false" customHeight="true" outlineLevel="0" collapsed="false">
      <c r="A29" s="16" t="n">
        <v>25</v>
      </c>
      <c r="B29" s="17" t="n">
        <v>3</v>
      </c>
      <c r="C29" s="18" t="s">
        <v>149</v>
      </c>
      <c r="D29" s="19" t="s">
        <v>150</v>
      </c>
      <c r="E29" s="18" t="s">
        <v>34</v>
      </c>
      <c r="F29" s="18" t="s">
        <v>151</v>
      </c>
      <c r="G29" s="18" t="s">
        <v>85</v>
      </c>
      <c r="H29" s="18" t="s">
        <v>53</v>
      </c>
      <c r="I29" s="18" t="s">
        <v>86</v>
      </c>
      <c r="J29" s="20" t="s">
        <v>152</v>
      </c>
    </row>
    <row r="30" customFormat="false" ht="48" hidden="false" customHeight="true" outlineLevel="0" collapsed="false">
      <c r="A30" s="16" t="n">
        <v>26</v>
      </c>
      <c r="B30" s="17" t="n">
        <v>3</v>
      </c>
      <c r="C30" s="18" t="s">
        <v>153</v>
      </c>
      <c r="D30" s="19" t="s">
        <v>154</v>
      </c>
      <c r="E30" s="18" t="s">
        <v>34</v>
      </c>
      <c r="F30" s="18" t="s">
        <v>155</v>
      </c>
      <c r="G30" s="18" t="s">
        <v>85</v>
      </c>
      <c r="H30" s="18" t="s">
        <v>53</v>
      </c>
      <c r="I30" s="18" t="s">
        <v>156</v>
      </c>
      <c r="J30" s="20" t="s">
        <v>157</v>
      </c>
    </row>
    <row r="31" customFormat="false" ht="55.5" hidden="false" customHeight="true" outlineLevel="0" collapsed="false">
      <c r="A31" s="16" t="n">
        <v>27</v>
      </c>
      <c r="B31" s="17" t="n">
        <v>3</v>
      </c>
      <c r="C31" s="18" t="s">
        <v>158</v>
      </c>
      <c r="D31" s="19" t="s">
        <v>159</v>
      </c>
      <c r="E31" s="18" t="s">
        <v>34</v>
      </c>
      <c r="F31" s="18" t="s">
        <v>160</v>
      </c>
      <c r="G31" s="18" t="s">
        <v>52</v>
      </c>
      <c r="H31" s="18" t="s">
        <v>53</v>
      </c>
      <c r="I31" s="18" t="s">
        <v>161</v>
      </c>
      <c r="J31" s="20" t="s">
        <v>162</v>
      </c>
    </row>
    <row r="32" customFormat="false" ht="55.5" hidden="false" customHeight="true" outlineLevel="0" collapsed="false">
      <c r="A32" s="16" t="n">
        <v>28</v>
      </c>
      <c r="B32" s="17" t="n">
        <v>3</v>
      </c>
      <c r="C32" s="18" t="s">
        <v>158</v>
      </c>
      <c r="D32" s="19" t="s">
        <v>163</v>
      </c>
      <c r="E32" s="18" t="s">
        <v>34</v>
      </c>
      <c r="F32" s="18" t="s">
        <v>164</v>
      </c>
      <c r="G32" s="18" t="s">
        <v>52</v>
      </c>
      <c r="H32" s="18" t="s">
        <v>53</v>
      </c>
      <c r="I32" s="18" t="s">
        <v>161</v>
      </c>
      <c r="J32" s="20" t="s">
        <v>165</v>
      </c>
    </row>
    <row r="33" customFormat="false" ht="55.5" hidden="false" customHeight="true" outlineLevel="0" collapsed="false">
      <c r="A33" s="16" t="n">
        <v>29</v>
      </c>
      <c r="B33" s="17" t="n">
        <v>3</v>
      </c>
      <c r="C33" s="18" t="s">
        <v>158</v>
      </c>
      <c r="D33" s="19" t="s">
        <v>166</v>
      </c>
      <c r="E33" s="18" t="s">
        <v>34</v>
      </c>
      <c r="F33" s="18" t="s">
        <v>167</v>
      </c>
      <c r="G33" s="18" t="s">
        <v>52</v>
      </c>
      <c r="H33" s="18" t="s">
        <v>53</v>
      </c>
      <c r="I33" s="18" t="s">
        <v>161</v>
      </c>
      <c r="J33" s="20" t="s">
        <v>168</v>
      </c>
    </row>
    <row r="34" customFormat="false" ht="48" hidden="false" customHeight="true" outlineLevel="0" collapsed="false">
      <c r="A34" s="16" t="n">
        <v>30</v>
      </c>
      <c r="B34" s="17" t="n">
        <v>3</v>
      </c>
      <c r="C34" s="18" t="s">
        <v>169</v>
      </c>
      <c r="D34" s="19" t="s">
        <v>170</v>
      </c>
      <c r="E34" s="18" t="s">
        <v>34</v>
      </c>
      <c r="F34" s="18" t="s">
        <v>171</v>
      </c>
      <c r="G34" s="18" t="s">
        <v>85</v>
      </c>
      <c r="H34" s="18" t="s">
        <v>53</v>
      </c>
      <c r="I34" s="18" t="s">
        <v>172</v>
      </c>
      <c r="J34" s="20" t="s">
        <v>173</v>
      </c>
    </row>
    <row r="35" customFormat="false" ht="48" hidden="false" customHeight="true" outlineLevel="0" collapsed="false">
      <c r="A35" s="16" t="n">
        <v>31</v>
      </c>
      <c r="B35" s="17" t="n">
        <v>3</v>
      </c>
      <c r="C35" s="18" t="s">
        <v>174</v>
      </c>
      <c r="D35" s="19" t="s">
        <v>175</v>
      </c>
      <c r="E35" s="18" t="s">
        <v>34</v>
      </c>
      <c r="F35" s="18" t="s">
        <v>176</v>
      </c>
      <c r="G35" s="18" t="s">
        <v>85</v>
      </c>
      <c r="H35" s="18" t="s">
        <v>53</v>
      </c>
      <c r="I35" s="18" t="s">
        <v>86</v>
      </c>
      <c r="J35" s="20" t="s">
        <v>177</v>
      </c>
    </row>
    <row r="36" customFormat="false" ht="48" hidden="false" customHeight="true" outlineLevel="0" collapsed="false">
      <c r="A36" s="16" t="n">
        <v>32</v>
      </c>
      <c r="B36" s="17" t="n">
        <v>3</v>
      </c>
      <c r="C36" s="18" t="s">
        <v>178</v>
      </c>
      <c r="D36" s="19" t="s">
        <v>179</v>
      </c>
      <c r="E36" s="18" t="s">
        <v>34</v>
      </c>
      <c r="F36" s="18" t="s">
        <v>180</v>
      </c>
      <c r="G36" s="18" t="s">
        <v>85</v>
      </c>
      <c r="H36" s="18" t="s">
        <v>53</v>
      </c>
      <c r="I36" s="18" t="s">
        <v>138</v>
      </c>
      <c r="J36" s="20" t="s">
        <v>181</v>
      </c>
    </row>
    <row r="37" customFormat="false" ht="48" hidden="false" customHeight="true" outlineLevel="0" collapsed="false">
      <c r="A37" s="16" t="n">
        <v>33</v>
      </c>
      <c r="B37" s="17" t="n">
        <v>3</v>
      </c>
      <c r="C37" s="18" t="s">
        <v>182</v>
      </c>
      <c r="D37" s="19" t="s">
        <v>183</v>
      </c>
      <c r="E37" s="18" t="s">
        <v>34</v>
      </c>
      <c r="F37" s="18" t="s">
        <v>184</v>
      </c>
      <c r="G37" s="18" t="s">
        <v>85</v>
      </c>
      <c r="H37" s="18" t="s">
        <v>53</v>
      </c>
      <c r="I37" s="18" t="s">
        <v>86</v>
      </c>
      <c r="J37" s="20" t="s">
        <v>185</v>
      </c>
    </row>
    <row r="38" customFormat="false" ht="55.5" hidden="false" customHeight="true" outlineLevel="0" collapsed="false">
      <c r="A38" s="16" t="n">
        <v>34</v>
      </c>
      <c r="B38" s="17" t="n">
        <v>3</v>
      </c>
      <c r="C38" s="18" t="s">
        <v>186</v>
      </c>
      <c r="D38" s="19" t="s">
        <v>187</v>
      </c>
      <c r="E38" s="18" t="s">
        <v>34</v>
      </c>
      <c r="F38" s="18" t="s">
        <v>188</v>
      </c>
      <c r="G38" s="18" t="s">
        <v>52</v>
      </c>
      <c r="H38" s="18" t="s">
        <v>53</v>
      </c>
      <c r="I38" s="18" t="s">
        <v>161</v>
      </c>
      <c r="J38" s="20" t="s">
        <v>189</v>
      </c>
    </row>
    <row r="39" customFormat="false" ht="55.5" hidden="false" customHeight="true" outlineLevel="0" collapsed="false">
      <c r="A39" s="16" t="n">
        <v>35</v>
      </c>
      <c r="B39" s="17" t="n">
        <v>3</v>
      </c>
      <c r="C39" s="18" t="s">
        <v>186</v>
      </c>
      <c r="D39" s="19" t="s">
        <v>190</v>
      </c>
      <c r="E39" s="18" t="s">
        <v>34</v>
      </c>
      <c r="F39" s="18" t="s">
        <v>191</v>
      </c>
      <c r="G39" s="18" t="s">
        <v>52</v>
      </c>
      <c r="H39" s="18" t="s">
        <v>53</v>
      </c>
      <c r="I39" s="18" t="s">
        <v>161</v>
      </c>
      <c r="J39" s="20" t="s">
        <v>192</v>
      </c>
    </row>
    <row r="40" customFormat="false" ht="55.5" hidden="false" customHeight="true" outlineLevel="0" collapsed="false">
      <c r="A40" s="16" t="n">
        <v>36</v>
      </c>
      <c r="B40" s="17" t="n">
        <v>3</v>
      </c>
      <c r="C40" s="18" t="s">
        <v>186</v>
      </c>
      <c r="D40" s="19" t="s">
        <v>193</v>
      </c>
      <c r="E40" s="18" t="s">
        <v>34</v>
      </c>
      <c r="F40" s="18" t="s">
        <v>194</v>
      </c>
      <c r="G40" s="18" t="s">
        <v>52</v>
      </c>
      <c r="H40" s="18" t="s">
        <v>53</v>
      </c>
      <c r="I40" s="18" t="s">
        <v>161</v>
      </c>
      <c r="J40" s="20" t="s">
        <v>195</v>
      </c>
    </row>
    <row r="41" customFormat="false" ht="48" hidden="false" customHeight="true" outlineLevel="0" collapsed="false">
      <c r="A41" s="16" t="n">
        <v>37</v>
      </c>
      <c r="B41" s="17" t="n">
        <v>3</v>
      </c>
      <c r="C41" s="18" t="s">
        <v>196</v>
      </c>
      <c r="D41" s="19" t="s">
        <v>197</v>
      </c>
      <c r="E41" s="18" t="s">
        <v>24</v>
      </c>
      <c r="F41" s="18" t="s">
        <v>198</v>
      </c>
      <c r="G41" s="18" t="s">
        <v>85</v>
      </c>
      <c r="H41" s="18" t="s">
        <v>53</v>
      </c>
      <c r="I41" s="18" t="s">
        <v>86</v>
      </c>
      <c r="J41" s="20" t="s">
        <v>199</v>
      </c>
    </row>
    <row r="42" customFormat="false" ht="48" hidden="false" customHeight="true" outlineLevel="0" collapsed="false">
      <c r="A42" s="16" t="n">
        <v>38</v>
      </c>
      <c r="B42" s="17" t="n">
        <v>3</v>
      </c>
      <c r="C42" s="18" t="s">
        <v>200</v>
      </c>
      <c r="D42" s="19" t="s">
        <v>201</v>
      </c>
      <c r="E42" s="18" t="s">
        <v>34</v>
      </c>
      <c r="F42" s="18" t="s">
        <v>202</v>
      </c>
      <c r="G42" s="18" t="s">
        <v>85</v>
      </c>
      <c r="H42" s="18" t="s">
        <v>53</v>
      </c>
      <c r="I42" s="18" t="s">
        <v>86</v>
      </c>
      <c r="J42" s="20" t="s">
        <v>203</v>
      </c>
    </row>
    <row r="43" customFormat="false" ht="48" hidden="false" customHeight="true" outlineLevel="0" collapsed="false">
      <c r="A43" s="16" t="n">
        <v>39</v>
      </c>
      <c r="B43" s="17" t="n">
        <v>3</v>
      </c>
      <c r="C43" s="18" t="s">
        <v>204</v>
      </c>
      <c r="D43" s="19" t="s">
        <v>205</v>
      </c>
      <c r="E43" s="18" t="s">
        <v>24</v>
      </c>
      <c r="F43" s="18" t="s">
        <v>206</v>
      </c>
      <c r="G43" s="18" t="s">
        <v>85</v>
      </c>
      <c r="H43" s="18" t="s">
        <v>53</v>
      </c>
      <c r="I43" s="18" t="s">
        <v>86</v>
      </c>
      <c r="J43" s="20" t="s">
        <v>207</v>
      </c>
    </row>
    <row r="44" customFormat="false" ht="48" hidden="false" customHeight="true" outlineLevel="0" collapsed="false">
      <c r="A44" s="16" t="n">
        <v>40</v>
      </c>
      <c r="B44" s="17" t="n">
        <v>3</v>
      </c>
      <c r="C44" s="18" t="s">
        <v>208</v>
      </c>
      <c r="D44" s="19" t="s">
        <v>209</v>
      </c>
      <c r="E44" s="18" t="s">
        <v>34</v>
      </c>
      <c r="F44" s="18" t="s">
        <v>210</v>
      </c>
      <c r="G44" s="18" t="s">
        <v>85</v>
      </c>
      <c r="H44" s="18" t="s">
        <v>53</v>
      </c>
      <c r="I44" s="18" t="s">
        <v>86</v>
      </c>
      <c r="J44" s="20" t="s">
        <v>211</v>
      </c>
    </row>
    <row r="45" customFormat="false" ht="48" hidden="false" customHeight="true" outlineLevel="0" collapsed="false">
      <c r="A45" s="16" t="n">
        <v>41</v>
      </c>
      <c r="B45" s="17" t="n">
        <v>3</v>
      </c>
      <c r="C45" s="18" t="s">
        <v>212</v>
      </c>
      <c r="D45" s="19" t="s">
        <v>213</v>
      </c>
      <c r="E45" s="18" t="s">
        <v>15</v>
      </c>
      <c r="F45" s="18" t="s">
        <v>214</v>
      </c>
      <c r="G45" s="18" t="s">
        <v>85</v>
      </c>
      <c r="H45" s="18" t="s">
        <v>53</v>
      </c>
      <c r="I45" s="18" t="s">
        <v>86</v>
      </c>
      <c r="J45" s="20" t="s">
        <v>215</v>
      </c>
    </row>
    <row r="46" customFormat="false" ht="48" hidden="false" customHeight="true" outlineLevel="0" collapsed="false">
      <c r="A46" s="16" t="n">
        <v>42</v>
      </c>
      <c r="B46" s="17" t="n">
        <v>3</v>
      </c>
      <c r="C46" s="18" t="s">
        <v>216</v>
      </c>
      <c r="D46" s="19" t="s">
        <v>217</v>
      </c>
      <c r="E46" s="18" t="s">
        <v>15</v>
      </c>
      <c r="F46" s="18" t="s">
        <v>218</v>
      </c>
      <c r="G46" s="18" t="s">
        <v>85</v>
      </c>
      <c r="H46" s="18" t="s">
        <v>53</v>
      </c>
      <c r="I46" s="18" t="s">
        <v>86</v>
      </c>
      <c r="J46" s="20" t="s">
        <v>219</v>
      </c>
    </row>
    <row r="47" customFormat="false" ht="48" hidden="false" customHeight="true" outlineLevel="0" collapsed="false">
      <c r="A47" s="16" t="n">
        <v>43</v>
      </c>
      <c r="B47" s="17" t="n">
        <v>3</v>
      </c>
      <c r="C47" s="18" t="s">
        <v>220</v>
      </c>
      <c r="D47" s="19" t="s">
        <v>221</v>
      </c>
      <c r="E47" s="18" t="s">
        <v>34</v>
      </c>
      <c r="F47" s="18" t="s">
        <v>222</v>
      </c>
      <c r="G47" s="18" t="s">
        <v>85</v>
      </c>
      <c r="H47" s="18" t="s">
        <v>53</v>
      </c>
      <c r="I47" s="18" t="s">
        <v>156</v>
      </c>
      <c r="J47" s="20" t="s">
        <v>223</v>
      </c>
    </row>
    <row r="48" customFormat="false" ht="55.5" hidden="false" customHeight="true" outlineLevel="0" collapsed="false">
      <c r="A48" s="16" t="n">
        <v>44</v>
      </c>
      <c r="B48" s="17" t="n">
        <v>3</v>
      </c>
      <c r="C48" s="18" t="s">
        <v>224</v>
      </c>
      <c r="D48" s="19" t="s">
        <v>225</v>
      </c>
      <c r="E48" s="18" t="s">
        <v>34</v>
      </c>
      <c r="F48" s="18" t="s">
        <v>226</v>
      </c>
      <c r="G48" s="18" t="s">
        <v>52</v>
      </c>
      <c r="H48" s="18" t="s">
        <v>53</v>
      </c>
      <c r="I48" s="18" t="s">
        <v>227</v>
      </c>
      <c r="J48" s="20" t="s">
        <v>228</v>
      </c>
    </row>
    <row r="49" customFormat="false" ht="48" hidden="false" customHeight="true" outlineLevel="0" collapsed="false">
      <c r="A49" s="16" t="n">
        <v>45</v>
      </c>
      <c r="B49" s="17" t="n">
        <v>3</v>
      </c>
      <c r="C49" s="18" t="s">
        <v>229</v>
      </c>
      <c r="D49" s="19" t="s">
        <v>230</v>
      </c>
      <c r="E49" s="18" t="s">
        <v>34</v>
      </c>
      <c r="F49" s="18" t="s">
        <v>231</v>
      </c>
      <c r="G49" s="18" t="s">
        <v>85</v>
      </c>
      <c r="H49" s="18" t="s">
        <v>53</v>
      </c>
      <c r="I49" s="18" t="s">
        <v>156</v>
      </c>
      <c r="J49" s="20" t="s">
        <v>232</v>
      </c>
    </row>
    <row r="50" customFormat="false" ht="55.5" hidden="false" customHeight="true" outlineLevel="0" collapsed="false">
      <c r="A50" s="16" t="n">
        <v>46</v>
      </c>
      <c r="B50" s="17" t="n">
        <v>3</v>
      </c>
      <c r="C50" s="18" t="s">
        <v>224</v>
      </c>
      <c r="D50" s="19" t="s">
        <v>233</v>
      </c>
      <c r="E50" s="18" t="s">
        <v>33</v>
      </c>
      <c r="F50" s="18" t="s">
        <v>234</v>
      </c>
      <c r="G50" s="18" t="s">
        <v>52</v>
      </c>
      <c r="H50" s="18" t="s">
        <v>53</v>
      </c>
      <c r="I50" s="18" t="s">
        <v>235</v>
      </c>
      <c r="J50" s="20" t="s">
        <v>236</v>
      </c>
    </row>
    <row r="51" customFormat="false" ht="55.5" hidden="false" customHeight="true" outlineLevel="0" collapsed="false">
      <c r="A51" s="16" t="n">
        <v>47</v>
      </c>
      <c r="B51" s="17" t="n">
        <v>3</v>
      </c>
      <c r="C51" s="18" t="s">
        <v>224</v>
      </c>
      <c r="D51" s="19" t="s">
        <v>237</v>
      </c>
      <c r="E51" s="18" t="s">
        <v>34</v>
      </c>
      <c r="F51" s="18" t="s">
        <v>238</v>
      </c>
      <c r="G51" s="18" t="s">
        <v>52</v>
      </c>
      <c r="H51" s="18" t="s">
        <v>53</v>
      </c>
      <c r="I51" s="18" t="s">
        <v>239</v>
      </c>
      <c r="J51" s="20" t="s">
        <v>240</v>
      </c>
    </row>
    <row r="52" customFormat="false" ht="48" hidden="false" customHeight="true" outlineLevel="0" collapsed="false">
      <c r="A52" s="16" t="n">
        <v>48</v>
      </c>
      <c r="B52" s="17" t="n">
        <v>3</v>
      </c>
      <c r="C52" s="18" t="s">
        <v>241</v>
      </c>
      <c r="D52" s="19" t="s">
        <v>242</v>
      </c>
      <c r="E52" s="18" t="s">
        <v>24</v>
      </c>
      <c r="F52" s="18" t="s">
        <v>243</v>
      </c>
      <c r="G52" s="18" t="s">
        <v>85</v>
      </c>
      <c r="H52" s="18" t="s">
        <v>53</v>
      </c>
      <c r="I52" s="18" t="s">
        <v>156</v>
      </c>
      <c r="J52" s="20" t="s">
        <v>244</v>
      </c>
    </row>
    <row r="53" customFormat="false" ht="48" hidden="false" customHeight="true" outlineLevel="0" collapsed="false">
      <c r="A53" s="16" t="n">
        <v>49</v>
      </c>
      <c r="B53" s="17" t="n">
        <v>3</v>
      </c>
      <c r="C53" s="18" t="s">
        <v>245</v>
      </c>
      <c r="D53" s="19" t="s">
        <v>246</v>
      </c>
      <c r="E53" s="18" t="s">
        <v>34</v>
      </c>
      <c r="F53" s="18" t="s">
        <v>247</v>
      </c>
      <c r="G53" s="18" t="s">
        <v>85</v>
      </c>
      <c r="H53" s="18" t="s">
        <v>53</v>
      </c>
      <c r="I53" s="18" t="s">
        <v>156</v>
      </c>
      <c r="J53" s="20" t="s">
        <v>248</v>
      </c>
    </row>
    <row r="54" customFormat="false" ht="48" hidden="false" customHeight="true" outlineLevel="0" collapsed="false">
      <c r="A54" s="16" t="n">
        <v>50</v>
      </c>
      <c r="B54" s="17" t="n">
        <v>3</v>
      </c>
      <c r="C54" s="18" t="s">
        <v>249</v>
      </c>
      <c r="D54" s="19" t="s">
        <v>250</v>
      </c>
      <c r="E54" s="18" t="s">
        <v>34</v>
      </c>
      <c r="F54" s="18" t="s">
        <v>251</v>
      </c>
      <c r="G54" s="18" t="s">
        <v>85</v>
      </c>
      <c r="H54" s="18" t="s">
        <v>53</v>
      </c>
      <c r="I54" s="18" t="s">
        <v>156</v>
      </c>
      <c r="J54" s="20" t="s">
        <v>252</v>
      </c>
    </row>
    <row r="55" customFormat="false" ht="48" hidden="false" customHeight="true" outlineLevel="0" collapsed="false">
      <c r="A55" s="16" t="n">
        <v>51</v>
      </c>
      <c r="B55" s="17" t="n">
        <v>3</v>
      </c>
      <c r="C55" s="18" t="s">
        <v>253</v>
      </c>
      <c r="D55" s="19" t="s">
        <v>254</v>
      </c>
      <c r="E55" s="18" t="s">
        <v>34</v>
      </c>
      <c r="F55" s="18" t="s">
        <v>255</v>
      </c>
      <c r="G55" s="18" t="s">
        <v>85</v>
      </c>
      <c r="H55" s="18" t="s">
        <v>53</v>
      </c>
      <c r="I55" s="18" t="s">
        <v>156</v>
      </c>
      <c r="J55" s="20" t="s">
        <v>256</v>
      </c>
    </row>
    <row r="56" customFormat="false" ht="48" hidden="false" customHeight="true" outlineLevel="0" collapsed="false">
      <c r="A56" s="16" t="n">
        <v>52</v>
      </c>
      <c r="B56" s="17" t="n">
        <v>3</v>
      </c>
      <c r="C56" s="18" t="s">
        <v>257</v>
      </c>
      <c r="D56" s="19" t="s">
        <v>258</v>
      </c>
      <c r="E56" s="18" t="s">
        <v>24</v>
      </c>
      <c r="F56" s="18" t="s">
        <v>259</v>
      </c>
      <c r="G56" s="18" t="s">
        <v>85</v>
      </c>
      <c r="H56" s="18" t="s">
        <v>53</v>
      </c>
      <c r="I56" s="18" t="s">
        <v>156</v>
      </c>
      <c r="J56" s="20" t="s">
        <v>260</v>
      </c>
    </row>
    <row r="57" customFormat="false" ht="48" hidden="false" customHeight="true" outlineLevel="0" collapsed="false">
      <c r="A57" s="16" t="n">
        <v>53</v>
      </c>
      <c r="B57" s="17" t="n">
        <v>3</v>
      </c>
      <c r="C57" s="18" t="s">
        <v>261</v>
      </c>
      <c r="D57" s="19" t="s">
        <v>262</v>
      </c>
      <c r="E57" s="18" t="s">
        <v>34</v>
      </c>
      <c r="F57" s="18" t="s">
        <v>263</v>
      </c>
      <c r="G57" s="18" t="s">
        <v>85</v>
      </c>
      <c r="H57" s="18" t="s">
        <v>53</v>
      </c>
      <c r="I57" s="18" t="s">
        <v>156</v>
      </c>
      <c r="J57" s="20" t="s">
        <v>264</v>
      </c>
    </row>
    <row r="58" customFormat="false" ht="48" hidden="false" customHeight="true" outlineLevel="0" collapsed="false">
      <c r="A58" s="16" t="n">
        <v>54</v>
      </c>
      <c r="B58" s="17" t="n">
        <v>3</v>
      </c>
      <c r="C58" s="18" t="s">
        <v>265</v>
      </c>
      <c r="D58" s="19" t="s">
        <v>266</v>
      </c>
      <c r="E58" s="18" t="s">
        <v>24</v>
      </c>
      <c r="F58" s="18" t="s">
        <v>267</v>
      </c>
      <c r="G58" s="18" t="s">
        <v>85</v>
      </c>
      <c r="H58" s="18" t="s">
        <v>53</v>
      </c>
      <c r="I58" s="18" t="s">
        <v>156</v>
      </c>
      <c r="J58" s="20" t="s">
        <v>268</v>
      </c>
    </row>
    <row r="59" customFormat="false" ht="48" hidden="false" customHeight="true" outlineLevel="0" collapsed="false">
      <c r="A59" s="16" t="n">
        <v>55</v>
      </c>
      <c r="B59" s="17" t="n">
        <v>3</v>
      </c>
      <c r="C59" s="18" t="s">
        <v>269</v>
      </c>
      <c r="D59" s="19" t="s">
        <v>270</v>
      </c>
      <c r="E59" s="18" t="s">
        <v>34</v>
      </c>
      <c r="F59" s="18" t="s">
        <v>271</v>
      </c>
      <c r="G59" s="18" t="s">
        <v>85</v>
      </c>
      <c r="H59" s="18" t="s">
        <v>53</v>
      </c>
      <c r="I59" s="18" t="s">
        <v>156</v>
      </c>
      <c r="J59" s="20" t="s">
        <v>272</v>
      </c>
    </row>
    <row r="60" customFormat="false" ht="48" hidden="false" customHeight="true" outlineLevel="0" collapsed="false">
      <c r="A60" s="16" t="n">
        <v>56</v>
      </c>
      <c r="B60" s="17" t="n">
        <v>3</v>
      </c>
      <c r="C60" s="18" t="s">
        <v>273</v>
      </c>
      <c r="D60" s="19" t="s">
        <v>274</v>
      </c>
      <c r="E60" s="18" t="s">
        <v>15</v>
      </c>
      <c r="F60" s="18" t="s">
        <v>275</v>
      </c>
      <c r="G60" s="18" t="s">
        <v>85</v>
      </c>
      <c r="H60" s="18" t="s">
        <v>53</v>
      </c>
      <c r="I60" s="18" t="s">
        <v>86</v>
      </c>
      <c r="J60" s="20" t="s">
        <v>276</v>
      </c>
    </row>
    <row r="61" customFormat="false" ht="48" hidden="false" customHeight="true" outlineLevel="0" collapsed="false">
      <c r="A61" s="16" t="n">
        <v>57</v>
      </c>
      <c r="B61" s="17" t="n">
        <v>3</v>
      </c>
      <c r="C61" s="18" t="s">
        <v>277</v>
      </c>
      <c r="D61" s="19" t="s">
        <v>278</v>
      </c>
      <c r="E61" s="18" t="s">
        <v>34</v>
      </c>
      <c r="F61" s="18" t="s">
        <v>279</v>
      </c>
      <c r="G61" s="18" t="s">
        <v>85</v>
      </c>
      <c r="H61" s="18" t="s">
        <v>53</v>
      </c>
      <c r="I61" s="18" t="s">
        <v>86</v>
      </c>
      <c r="J61" s="20" t="s">
        <v>280</v>
      </c>
    </row>
    <row r="62" customFormat="false" ht="48" hidden="false" customHeight="true" outlineLevel="0" collapsed="false">
      <c r="A62" s="16" t="n">
        <v>58</v>
      </c>
      <c r="B62" s="17" t="n">
        <v>3</v>
      </c>
      <c r="C62" s="18" t="s">
        <v>281</v>
      </c>
      <c r="D62" s="19" t="s">
        <v>282</v>
      </c>
      <c r="E62" s="18" t="s">
        <v>15</v>
      </c>
      <c r="F62" s="18" t="s">
        <v>283</v>
      </c>
      <c r="G62" s="18" t="s">
        <v>85</v>
      </c>
      <c r="H62" s="18" t="s">
        <v>53</v>
      </c>
      <c r="I62" s="18" t="s">
        <v>284</v>
      </c>
      <c r="J62" s="20" t="s">
        <v>285</v>
      </c>
    </row>
    <row r="63" customFormat="false" ht="48" hidden="false" customHeight="true" outlineLevel="0" collapsed="false">
      <c r="A63" s="16" t="n">
        <v>59</v>
      </c>
      <c r="B63" s="17" t="n">
        <v>3</v>
      </c>
      <c r="C63" s="18" t="s">
        <v>286</v>
      </c>
      <c r="D63" s="19" t="s">
        <v>287</v>
      </c>
      <c r="E63" s="18" t="s">
        <v>15</v>
      </c>
      <c r="F63" s="18" t="s">
        <v>288</v>
      </c>
      <c r="G63" s="18" t="s">
        <v>85</v>
      </c>
      <c r="H63" s="18" t="s">
        <v>53</v>
      </c>
      <c r="I63" s="18" t="s">
        <v>86</v>
      </c>
      <c r="J63" s="20" t="s">
        <v>289</v>
      </c>
    </row>
    <row r="64" customFormat="false" ht="48" hidden="false" customHeight="true" outlineLevel="0" collapsed="false">
      <c r="A64" s="16" t="n">
        <v>60</v>
      </c>
      <c r="B64" s="17" t="n">
        <v>3</v>
      </c>
      <c r="C64" s="18" t="s">
        <v>290</v>
      </c>
      <c r="D64" s="19" t="s">
        <v>291</v>
      </c>
      <c r="E64" s="18" t="s">
        <v>34</v>
      </c>
      <c r="F64" s="18" t="s">
        <v>292</v>
      </c>
      <c r="G64" s="18" t="s">
        <v>85</v>
      </c>
      <c r="H64" s="18" t="s">
        <v>53</v>
      </c>
      <c r="I64" s="18" t="s">
        <v>86</v>
      </c>
      <c r="J64" s="20" t="s">
        <v>293</v>
      </c>
    </row>
    <row r="65" customFormat="false" ht="48" hidden="false" customHeight="true" outlineLevel="0" collapsed="false">
      <c r="A65" s="16" t="n">
        <v>61</v>
      </c>
      <c r="B65" s="17" t="n">
        <v>4</v>
      </c>
      <c r="C65" s="18" t="s">
        <v>294</v>
      </c>
      <c r="D65" s="19" t="s">
        <v>295</v>
      </c>
      <c r="E65" s="18" t="s">
        <v>33</v>
      </c>
      <c r="F65" s="18" t="s">
        <v>296</v>
      </c>
      <c r="G65" s="18" t="s">
        <v>52</v>
      </c>
      <c r="H65" s="18" t="s">
        <v>53</v>
      </c>
      <c r="I65" s="18" t="s">
        <v>297</v>
      </c>
      <c r="J65" s="20" t="s">
        <v>298</v>
      </c>
    </row>
    <row r="66" customFormat="false" ht="55.5" hidden="false" customHeight="true" outlineLevel="0" collapsed="false">
      <c r="A66" s="16" t="n">
        <v>62</v>
      </c>
      <c r="B66" s="17" t="n">
        <v>4</v>
      </c>
      <c r="C66" s="18" t="s">
        <v>294</v>
      </c>
      <c r="D66" s="19" t="s">
        <v>299</v>
      </c>
      <c r="E66" s="18" t="s">
        <v>22</v>
      </c>
      <c r="F66" s="18" t="s">
        <v>300</v>
      </c>
      <c r="G66" s="18" t="s">
        <v>52</v>
      </c>
      <c r="H66" s="18" t="s">
        <v>53</v>
      </c>
      <c r="I66" s="18" t="s">
        <v>301</v>
      </c>
      <c r="J66" s="20" t="s">
        <v>302</v>
      </c>
    </row>
    <row r="67" customFormat="false" ht="55.5" hidden="false" customHeight="true" outlineLevel="0" collapsed="false">
      <c r="A67" s="16" t="n">
        <v>63</v>
      </c>
      <c r="B67" s="17" t="n">
        <v>4</v>
      </c>
      <c r="C67" s="18" t="s">
        <v>294</v>
      </c>
      <c r="D67" s="19" t="s">
        <v>303</v>
      </c>
      <c r="E67" s="18" t="s">
        <v>29</v>
      </c>
      <c r="F67" s="18" t="s">
        <v>304</v>
      </c>
      <c r="G67" s="18" t="s">
        <v>52</v>
      </c>
      <c r="H67" s="18" t="s">
        <v>53</v>
      </c>
      <c r="I67" s="18" t="s">
        <v>305</v>
      </c>
      <c r="J67" s="20" t="s">
        <v>306</v>
      </c>
    </row>
    <row r="68" customFormat="false" ht="48" hidden="false" customHeight="true" outlineLevel="0" collapsed="false">
      <c r="A68" s="16" t="n">
        <v>64</v>
      </c>
      <c r="B68" s="17" t="n">
        <v>4</v>
      </c>
      <c r="C68" s="18" t="s">
        <v>307</v>
      </c>
      <c r="D68" s="19" t="s">
        <v>308</v>
      </c>
      <c r="E68" s="18" t="s">
        <v>24</v>
      </c>
      <c r="F68" s="18" t="s">
        <v>309</v>
      </c>
      <c r="G68" s="18" t="s">
        <v>85</v>
      </c>
      <c r="H68" s="18" t="s">
        <v>53</v>
      </c>
      <c r="I68" s="18" t="s">
        <v>86</v>
      </c>
      <c r="J68" s="20" t="s">
        <v>310</v>
      </c>
    </row>
    <row r="69" customFormat="false" ht="48" hidden="false" customHeight="true" outlineLevel="0" collapsed="false">
      <c r="A69" s="16" t="n">
        <v>65</v>
      </c>
      <c r="B69" s="17" t="n">
        <v>4</v>
      </c>
      <c r="C69" s="18" t="s">
        <v>307</v>
      </c>
      <c r="D69" s="19" t="s">
        <v>311</v>
      </c>
      <c r="E69" s="18" t="s">
        <v>24</v>
      </c>
      <c r="F69" s="18" t="s">
        <v>312</v>
      </c>
      <c r="G69" s="18" t="s">
        <v>85</v>
      </c>
      <c r="H69" s="18" t="s">
        <v>53</v>
      </c>
      <c r="I69" s="18" t="s">
        <v>86</v>
      </c>
      <c r="J69" s="20" t="s">
        <v>313</v>
      </c>
    </row>
    <row r="70" customFormat="false" ht="48" hidden="false" customHeight="true" outlineLevel="0" collapsed="false">
      <c r="A70" s="16" t="n">
        <v>66</v>
      </c>
      <c r="B70" s="17" t="n">
        <v>4</v>
      </c>
      <c r="C70" s="18" t="s">
        <v>314</v>
      </c>
      <c r="D70" s="19" t="s">
        <v>315</v>
      </c>
      <c r="E70" s="18" t="s">
        <v>24</v>
      </c>
      <c r="F70" s="18" t="s">
        <v>316</v>
      </c>
      <c r="G70" s="18" t="s">
        <v>85</v>
      </c>
      <c r="H70" s="18" t="s">
        <v>53</v>
      </c>
      <c r="I70" s="18" t="s">
        <v>86</v>
      </c>
      <c r="J70" s="20" t="s">
        <v>317</v>
      </c>
    </row>
    <row r="71" customFormat="false" ht="55.5" hidden="false" customHeight="true" outlineLevel="0" collapsed="false">
      <c r="A71" s="16" t="n">
        <v>67</v>
      </c>
      <c r="B71" s="17" t="n">
        <v>4</v>
      </c>
      <c r="C71" s="18" t="s">
        <v>318</v>
      </c>
      <c r="D71" s="19" t="s">
        <v>319</v>
      </c>
      <c r="E71" s="18" t="s">
        <v>24</v>
      </c>
      <c r="F71" s="18" t="s">
        <v>320</v>
      </c>
      <c r="G71" s="21" t="s">
        <v>85</v>
      </c>
      <c r="H71" s="21" t="s">
        <v>321</v>
      </c>
      <c r="I71" s="21" t="s">
        <v>322</v>
      </c>
      <c r="J71" s="20" t="s">
        <v>323</v>
      </c>
    </row>
    <row r="72" customFormat="false" ht="55.5" hidden="false" customHeight="true" outlineLevel="0" collapsed="false">
      <c r="A72" s="16" t="n">
        <v>68</v>
      </c>
      <c r="B72" s="17" t="n">
        <v>4</v>
      </c>
      <c r="C72" s="18" t="s">
        <v>324</v>
      </c>
      <c r="D72" s="19" t="s">
        <v>325</v>
      </c>
      <c r="E72" s="18" t="s">
        <v>24</v>
      </c>
      <c r="F72" s="18" t="s">
        <v>326</v>
      </c>
      <c r="G72" s="21" t="s">
        <v>85</v>
      </c>
      <c r="H72" s="21" t="s">
        <v>321</v>
      </c>
      <c r="I72" s="21" t="s">
        <v>322</v>
      </c>
      <c r="J72" s="20" t="s">
        <v>323</v>
      </c>
    </row>
    <row r="73" customFormat="false" ht="48" hidden="false" customHeight="true" outlineLevel="0" collapsed="false">
      <c r="A73" s="16" t="n">
        <v>69</v>
      </c>
      <c r="B73" s="17" t="n">
        <v>4</v>
      </c>
      <c r="C73" s="18" t="s">
        <v>327</v>
      </c>
      <c r="D73" s="19" t="s">
        <v>328</v>
      </c>
      <c r="E73" s="18" t="s">
        <v>24</v>
      </c>
      <c r="F73" s="18" t="s">
        <v>329</v>
      </c>
      <c r="G73" s="18" t="s">
        <v>85</v>
      </c>
      <c r="H73" s="18" t="s">
        <v>53</v>
      </c>
      <c r="I73" s="18" t="s">
        <v>86</v>
      </c>
      <c r="J73" s="20" t="s">
        <v>330</v>
      </c>
    </row>
    <row r="74" customFormat="false" ht="48" hidden="false" customHeight="true" outlineLevel="0" collapsed="false">
      <c r="A74" s="16" t="n">
        <v>70</v>
      </c>
      <c r="B74" s="17" t="n">
        <v>4</v>
      </c>
      <c r="C74" s="18" t="s">
        <v>331</v>
      </c>
      <c r="D74" s="19" t="s">
        <v>332</v>
      </c>
      <c r="E74" s="18" t="s">
        <v>24</v>
      </c>
      <c r="F74" s="18" t="s">
        <v>333</v>
      </c>
      <c r="G74" s="18" t="s">
        <v>85</v>
      </c>
      <c r="H74" s="18" t="s">
        <v>53</v>
      </c>
      <c r="I74" s="18" t="s">
        <v>86</v>
      </c>
      <c r="J74" s="20" t="s">
        <v>334</v>
      </c>
    </row>
    <row r="75" customFormat="false" ht="55.5" hidden="false" customHeight="true" outlineLevel="0" collapsed="false">
      <c r="A75" s="16" t="n">
        <v>71</v>
      </c>
      <c r="B75" s="17" t="n">
        <v>4</v>
      </c>
      <c r="C75" s="18" t="s">
        <v>335</v>
      </c>
      <c r="D75" s="19" t="s">
        <v>336</v>
      </c>
      <c r="E75" s="18" t="s">
        <v>24</v>
      </c>
      <c r="F75" s="18" t="s">
        <v>337</v>
      </c>
      <c r="G75" s="18" t="s">
        <v>85</v>
      </c>
      <c r="H75" s="18" t="s">
        <v>53</v>
      </c>
      <c r="I75" s="18" t="s">
        <v>86</v>
      </c>
      <c r="J75" s="20" t="s">
        <v>338</v>
      </c>
    </row>
    <row r="76" customFormat="false" ht="55.5" hidden="false" customHeight="true" outlineLevel="0" collapsed="false">
      <c r="A76" s="16" t="n">
        <v>72</v>
      </c>
      <c r="B76" s="17" t="n">
        <v>4</v>
      </c>
      <c r="C76" s="18" t="s">
        <v>339</v>
      </c>
      <c r="D76" s="19" t="s">
        <v>340</v>
      </c>
      <c r="E76" s="18" t="s">
        <v>29</v>
      </c>
      <c r="F76" s="18" t="s">
        <v>341</v>
      </c>
      <c r="G76" s="18" t="s">
        <v>52</v>
      </c>
      <c r="H76" s="18" t="s">
        <v>53</v>
      </c>
      <c r="I76" s="18" t="s">
        <v>305</v>
      </c>
      <c r="J76" s="20" t="s">
        <v>342</v>
      </c>
    </row>
    <row r="77" customFormat="false" ht="55.5" hidden="false" customHeight="true" outlineLevel="0" collapsed="false">
      <c r="A77" s="16" t="n">
        <v>73</v>
      </c>
      <c r="B77" s="17" t="n">
        <v>4</v>
      </c>
      <c r="C77" s="18" t="s">
        <v>339</v>
      </c>
      <c r="D77" s="19" t="s">
        <v>343</v>
      </c>
      <c r="E77" s="18" t="s">
        <v>29</v>
      </c>
      <c r="F77" s="18" t="s">
        <v>344</v>
      </c>
      <c r="G77" s="18" t="s">
        <v>52</v>
      </c>
      <c r="H77" s="18" t="s">
        <v>53</v>
      </c>
      <c r="I77" s="18" t="s">
        <v>305</v>
      </c>
      <c r="J77" s="20" t="s">
        <v>345</v>
      </c>
    </row>
    <row r="78" customFormat="false" ht="48" hidden="false" customHeight="true" outlineLevel="0" collapsed="false">
      <c r="A78" s="16" t="n">
        <v>74</v>
      </c>
      <c r="B78" s="17" t="n">
        <v>4</v>
      </c>
      <c r="C78" s="18" t="s">
        <v>339</v>
      </c>
      <c r="D78" s="19" t="s">
        <v>346</v>
      </c>
      <c r="E78" s="18" t="s">
        <v>23</v>
      </c>
      <c r="F78" s="18" t="s">
        <v>347</v>
      </c>
      <c r="G78" s="18" t="s">
        <v>52</v>
      </c>
      <c r="H78" s="18" t="s">
        <v>53</v>
      </c>
      <c r="I78" s="18" t="s">
        <v>297</v>
      </c>
      <c r="J78" s="20" t="s">
        <v>348</v>
      </c>
    </row>
    <row r="79" customFormat="false" ht="48" hidden="false" customHeight="true" outlineLevel="0" collapsed="false">
      <c r="A79" s="16" t="n">
        <v>75</v>
      </c>
      <c r="B79" s="17" t="n">
        <v>4</v>
      </c>
      <c r="C79" s="18" t="s">
        <v>339</v>
      </c>
      <c r="D79" s="19" t="s">
        <v>349</v>
      </c>
      <c r="E79" s="18" t="s">
        <v>23</v>
      </c>
      <c r="F79" s="18" t="s">
        <v>350</v>
      </c>
      <c r="G79" s="18" t="s">
        <v>52</v>
      </c>
      <c r="H79" s="18" t="s">
        <v>53</v>
      </c>
      <c r="I79" s="18" t="s">
        <v>297</v>
      </c>
      <c r="J79" s="20" t="s">
        <v>351</v>
      </c>
    </row>
    <row r="80" customFormat="false" ht="48" hidden="false" customHeight="true" outlineLevel="0" collapsed="false">
      <c r="A80" s="16" t="n">
        <v>76</v>
      </c>
      <c r="B80" s="17" t="n">
        <v>4</v>
      </c>
      <c r="C80" s="18" t="s">
        <v>352</v>
      </c>
      <c r="D80" s="19" t="s">
        <v>353</v>
      </c>
      <c r="E80" s="18" t="s">
        <v>24</v>
      </c>
      <c r="F80" s="18" t="s">
        <v>354</v>
      </c>
      <c r="G80" s="18" t="s">
        <v>85</v>
      </c>
      <c r="H80" s="18" t="s">
        <v>53</v>
      </c>
      <c r="I80" s="18" t="s">
        <v>86</v>
      </c>
      <c r="J80" s="20" t="s">
        <v>355</v>
      </c>
    </row>
  </sheetData>
  <mergeCells count="3">
    <mergeCell ref="A1:J1"/>
    <mergeCell ref="A2:J2"/>
    <mergeCell ref="A3:J3"/>
  </mergeCells>
  <conditionalFormatting sqref="G5:G80">
    <cfRule type="expression" priority="2" aboveAverage="0" equalAverage="0" bottom="0" percent="0" rank="0" text="" dxfId="7">
      <formula>G5="Not in voice manifest"</formula>
    </cfRule>
  </conditionalFormatting>
  <conditionalFormatting sqref="H5:H80">
    <cfRule type="expression" priority="3" aboveAverage="0" equalAverage="0" bottom="0" percent="0" rank="0" text="" dxfId="7">
      <formula>H5="Recorded"</formula>
    </cfRule>
  </conditionalFormatting>
  <dataValidations count="1">
    <dataValidation allowBlank="false" errorStyle="stop" operator="between" showDropDown="false" showErrorMessage="false" showInputMessage="false" sqref="H5:H80" type="list">
      <formula1>"To record,Recorded,Integrated,Needs speaker check"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68932"/>
    <pageSetUpPr fitToPage="false"/>
  </sheetPr>
  <dimension ref="A1:J2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11"/>
    <col collapsed="false" customWidth="true" hidden="false" outlineLevel="0" max="3" min="3" style="1" width="36"/>
    <col collapsed="false" customWidth="true" hidden="false" outlineLevel="0" max="4" min="4" style="1" width="14"/>
    <col collapsed="false" customWidth="true" hidden="false" outlineLevel="0" max="5" min="5" style="1" width="23"/>
    <col collapsed="false" customWidth="true" hidden="false" outlineLevel="0" max="6" min="6" style="1" width="86"/>
    <col collapsed="false" customWidth="true" hidden="false" outlineLevel="0" max="7" min="7" style="1" width="27"/>
    <col collapsed="false" customWidth="true" hidden="false" outlineLevel="0" max="8" min="8" style="1" width="21"/>
    <col collapsed="false" customWidth="true" hidden="false" outlineLevel="0" max="9" min="9" style="1" width="74"/>
    <col collapsed="false" customWidth="true" hidden="false" outlineLevel="0" max="10" min="10" style="1" width="72"/>
  </cols>
  <sheetData>
    <row r="1" customFormat="false" ht="33.75" hidden="false" customHeight="true" outlineLevel="0" collapsed="false">
      <c r="A1" s="14" t="s">
        <v>356</v>
      </c>
      <c r="B1" s="14"/>
      <c r="C1" s="14"/>
      <c r="D1" s="14"/>
      <c r="E1" s="14"/>
      <c r="F1" s="14"/>
      <c r="G1" s="14"/>
      <c r="H1" s="14"/>
      <c r="I1" s="14"/>
      <c r="J1" s="14"/>
    </row>
    <row r="2" customFormat="false" ht="27" hidden="false" customHeight="true" outlineLevel="0" collapsed="false">
      <c r="A2" s="3" t="s">
        <v>357</v>
      </c>
      <c r="B2" s="3"/>
      <c r="C2" s="3"/>
      <c r="D2" s="3"/>
      <c r="E2" s="3"/>
      <c r="F2" s="3"/>
      <c r="G2" s="3"/>
      <c r="H2" s="3"/>
      <c r="I2" s="3"/>
      <c r="J2" s="3"/>
    </row>
    <row r="3" customFormat="false" ht="21.75" hidden="false" customHeight="true" outlineLevel="0" collapsed="false">
      <c r="A3" s="3" t="s">
        <v>39</v>
      </c>
      <c r="B3" s="3"/>
      <c r="C3" s="3"/>
      <c r="D3" s="3"/>
      <c r="E3" s="3"/>
      <c r="F3" s="3"/>
      <c r="G3" s="3"/>
      <c r="H3" s="3"/>
      <c r="I3" s="3"/>
      <c r="J3" s="3"/>
    </row>
    <row r="4" customFormat="false" ht="30" hidden="false" customHeight="true" outlineLevel="0" collapsed="false">
      <c r="A4" s="15" t="s">
        <v>40</v>
      </c>
      <c r="B4" s="15" t="s">
        <v>6</v>
      </c>
      <c r="C4" s="15" t="s">
        <v>41</v>
      </c>
      <c r="D4" s="15" t="s">
        <v>42</v>
      </c>
      <c r="E4" s="15" t="s">
        <v>43</v>
      </c>
      <c r="F4" s="15" t="s">
        <v>44</v>
      </c>
      <c r="G4" s="15" t="s">
        <v>45</v>
      </c>
      <c r="H4" s="15" t="s">
        <v>46</v>
      </c>
      <c r="I4" s="15" t="s">
        <v>47</v>
      </c>
      <c r="J4" s="15" t="s">
        <v>48</v>
      </c>
    </row>
    <row r="5" customFormat="false" ht="55.5" hidden="false" customHeight="true" outlineLevel="0" collapsed="false">
      <c r="A5" s="16" t="n">
        <v>1</v>
      </c>
      <c r="B5" s="17" t="n">
        <v>1</v>
      </c>
      <c r="C5" s="18" t="s">
        <v>358</v>
      </c>
      <c r="D5" s="19" t="s">
        <v>359</v>
      </c>
      <c r="E5" s="18" t="s">
        <v>20</v>
      </c>
      <c r="F5" s="18" t="s">
        <v>360</v>
      </c>
      <c r="G5" s="18" t="s">
        <v>361</v>
      </c>
      <c r="H5" s="18" t="s">
        <v>362</v>
      </c>
      <c r="I5" s="18" t="s">
        <v>363</v>
      </c>
      <c r="J5" s="20" t="s">
        <v>364</v>
      </c>
    </row>
    <row r="6" customFormat="false" ht="55.5" hidden="false" customHeight="true" outlineLevel="0" collapsed="false">
      <c r="A6" s="16" t="n">
        <v>2</v>
      </c>
      <c r="B6" s="17" t="n">
        <v>1</v>
      </c>
      <c r="C6" s="18" t="s">
        <v>365</v>
      </c>
      <c r="D6" s="19" t="s">
        <v>366</v>
      </c>
      <c r="E6" s="18" t="s">
        <v>20</v>
      </c>
      <c r="F6" s="18" t="s">
        <v>367</v>
      </c>
      <c r="G6" s="18" t="s">
        <v>361</v>
      </c>
      <c r="H6" s="18" t="s">
        <v>362</v>
      </c>
      <c r="I6" s="18" t="s">
        <v>363</v>
      </c>
      <c r="J6" s="20" t="s">
        <v>368</v>
      </c>
    </row>
    <row r="7" customFormat="false" ht="55.5" hidden="false" customHeight="true" outlineLevel="0" collapsed="false">
      <c r="A7" s="16" t="n">
        <v>3</v>
      </c>
      <c r="B7" s="17" t="n">
        <v>1</v>
      </c>
      <c r="C7" s="18" t="s">
        <v>358</v>
      </c>
      <c r="D7" s="19" t="s">
        <v>369</v>
      </c>
      <c r="E7" s="18" t="s">
        <v>26</v>
      </c>
      <c r="F7" s="18" t="s">
        <v>370</v>
      </c>
      <c r="G7" s="18" t="s">
        <v>361</v>
      </c>
      <c r="H7" s="18" t="s">
        <v>362</v>
      </c>
      <c r="I7" s="18" t="s">
        <v>363</v>
      </c>
      <c r="J7" s="20" t="s">
        <v>371</v>
      </c>
    </row>
    <row r="8" customFormat="false" ht="72" hidden="false" customHeight="true" outlineLevel="0" collapsed="false">
      <c r="A8" s="16" t="n">
        <v>4</v>
      </c>
      <c r="B8" s="17" t="n">
        <v>1</v>
      </c>
      <c r="C8" s="18" t="s">
        <v>372</v>
      </c>
      <c r="D8" s="19" t="s">
        <v>373</v>
      </c>
      <c r="E8" s="18" t="s">
        <v>26</v>
      </c>
      <c r="F8" s="18" t="s">
        <v>374</v>
      </c>
      <c r="G8" s="18" t="s">
        <v>361</v>
      </c>
      <c r="H8" s="18" t="s">
        <v>362</v>
      </c>
      <c r="I8" s="18" t="s">
        <v>363</v>
      </c>
      <c r="J8" s="20" t="s">
        <v>375</v>
      </c>
    </row>
    <row r="9" customFormat="false" ht="55.5" hidden="false" customHeight="true" outlineLevel="0" collapsed="false">
      <c r="A9" s="16" t="n">
        <v>5</v>
      </c>
      <c r="B9" s="17" t="n">
        <v>1</v>
      </c>
      <c r="C9" s="18" t="s">
        <v>365</v>
      </c>
      <c r="D9" s="19" t="s">
        <v>376</v>
      </c>
      <c r="E9" s="18" t="s">
        <v>26</v>
      </c>
      <c r="F9" s="18" t="s">
        <v>377</v>
      </c>
      <c r="G9" s="18" t="s">
        <v>361</v>
      </c>
      <c r="H9" s="18" t="s">
        <v>362</v>
      </c>
      <c r="I9" s="18" t="s">
        <v>363</v>
      </c>
      <c r="J9" s="20" t="s">
        <v>378</v>
      </c>
    </row>
    <row r="10" customFormat="false" ht="48" hidden="false" customHeight="true" outlineLevel="0" collapsed="false">
      <c r="A10" s="16" t="n">
        <v>6</v>
      </c>
      <c r="B10" s="17" t="n">
        <v>1</v>
      </c>
      <c r="C10" s="18" t="s">
        <v>379</v>
      </c>
      <c r="D10" s="19" t="s">
        <v>380</v>
      </c>
      <c r="E10" s="18" t="s">
        <v>25</v>
      </c>
      <c r="F10" s="18" t="s">
        <v>381</v>
      </c>
      <c r="G10" s="18" t="s">
        <v>361</v>
      </c>
      <c r="H10" s="18" t="s">
        <v>362</v>
      </c>
      <c r="I10" s="18" t="s">
        <v>382</v>
      </c>
      <c r="J10" s="20" t="s">
        <v>383</v>
      </c>
    </row>
    <row r="11" customFormat="false" ht="48" hidden="false" customHeight="true" outlineLevel="0" collapsed="false">
      <c r="A11" s="16" t="n">
        <v>7</v>
      </c>
      <c r="B11" s="17" t="n">
        <v>1</v>
      </c>
      <c r="C11" s="18" t="s">
        <v>379</v>
      </c>
      <c r="D11" s="19" t="s">
        <v>384</v>
      </c>
      <c r="E11" s="18" t="s">
        <v>25</v>
      </c>
      <c r="F11" s="18" t="s">
        <v>385</v>
      </c>
      <c r="G11" s="18" t="s">
        <v>361</v>
      </c>
      <c r="H11" s="18" t="s">
        <v>362</v>
      </c>
      <c r="I11" s="18" t="s">
        <v>386</v>
      </c>
      <c r="J11" s="20" t="s">
        <v>387</v>
      </c>
    </row>
    <row r="12" customFormat="false" ht="48" hidden="false" customHeight="true" outlineLevel="0" collapsed="false">
      <c r="A12" s="16" t="n">
        <v>8</v>
      </c>
      <c r="B12" s="17" t="n">
        <v>1</v>
      </c>
      <c r="C12" s="18" t="s">
        <v>379</v>
      </c>
      <c r="D12" s="19" t="s">
        <v>388</v>
      </c>
      <c r="E12" s="18" t="s">
        <v>25</v>
      </c>
      <c r="F12" s="18" t="s">
        <v>389</v>
      </c>
      <c r="G12" s="18" t="s">
        <v>361</v>
      </c>
      <c r="H12" s="18" t="s">
        <v>362</v>
      </c>
      <c r="I12" s="18" t="s">
        <v>390</v>
      </c>
      <c r="J12" s="20" t="s">
        <v>391</v>
      </c>
    </row>
    <row r="13" customFormat="false" ht="48" hidden="false" customHeight="true" outlineLevel="0" collapsed="false">
      <c r="A13" s="16" t="n">
        <v>9</v>
      </c>
      <c r="B13" s="17" t="n">
        <v>1</v>
      </c>
      <c r="C13" s="18" t="s">
        <v>379</v>
      </c>
      <c r="D13" s="19" t="s">
        <v>392</v>
      </c>
      <c r="E13" s="18" t="s">
        <v>25</v>
      </c>
      <c r="F13" s="18" t="s">
        <v>393</v>
      </c>
      <c r="G13" s="18" t="s">
        <v>361</v>
      </c>
      <c r="H13" s="18" t="s">
        <v>362</v>
      </c>
      <c r="I13" s="18" t="s">
        <v>394</v>
      </c>
      <c r="J13" s="20" t="s">
        <v>395</v>
      </c>
    </row>
    <row r="14" customFormat="false" ht="48" hidden="false" customHeight="true" outlineLevel="0" collapsed="false">
      <c r="A14" s="16" t="n">
        <v>10</v>
      </c>
      <c r="B14" s="17" t="n">
        <v>1</v>
      </c>
      <c r="C14" s="18" t="s">
        <v>379</v>
      </c>
      <c r="D14" s="19" t="s">
        <v>396</v>
      </c>
      <c r="E14" s="18" t="s">
        <v>25</v>
      </c>
      <c r="F14" s="18" t="s">
        <v>397</v>
      </c>
      <c r="G14" s="18" t="s">
        <v>361</v>
      </c>
      <c r="H14" s="18" t="s">
        <v>362</v>
      </c>
      <c r="I14" s="18" t="s">
        <v>398</v>
      </c>
      <c r="J14" s="20" t="s">
        <v>399</v>
      </c>
    </row>
    <row r="15" customFormat="false" ht="48" hidden="false" customHeight="true" outlineLevel="0" collapsed="false">
      <c r="A15" s="16" t="n">
        <v>11</v>
      </c>
      <c r="B15" s="17" t="n">
        <v>1</v>
      </c>
      <c r="C15" s="18" t="s">
        <v>379</v>
      </c>
      <c r="D15" s="19" t="s">
        <v>400</v>
      </c>
      <c r="E15" s="18" t="s">
        <v>25</v>
      </c>
      <c r="F15" s="18" t="s">
        <v>401</v>
      </c>
      <c r="G15" s="18" t="s">
        <v>361</v>
      </c>
      <c r="H15" s="18" t="s">
        <v>362</v>
      </c>
      <c r="I15" s="18" t="s">
        <v>402</v>
      </c>
      <c r="J15" s="20" t="s">
        <v>403</v>
      </c>
    </row>
    <row r="16" customFormat="false" ht="48" hidden="false" customHeight="true" outlineLevel="0" collapsed="false">
      <c r="A16" s="16" t="n">
        <v>12</v>
      </c>
      <c r="B16" s="17" t="n">
        <v>1</v>
      </c>
      <c r="C16" s="18" t="s">
        <v>379</v>
      </c>
      <c r="D16" s="19" t="s">
        <v>404</v>
      </c>
      <c r="E16" s="18" t="s">
        <v>25</v>
      </c>
      <c r="F16" s="18" t="s">
        <v>405</v>
      </c>
      <c r="G16" s="18" t="s">
        <v>361</v>
      </c>
      <c r="H16" s="18" t="s">
        <v>362</v>
      </c>
      <c r="I16" s="18" t="s">
        <v>406</v>
      </c>
      <c r="J16" s="20" t="s">
        <v>407</v>
      </c>
    </row>
    <row r="17" customFormat="false" ht="48" hidden="false" customHeight="true" outlineLevel="0" collapsed="false">
      <c r="A17" s="16" t="n">
        <v>13</v>
      </c>
      <c r="B17" s="17" t="n">
        <v>2</v>
      </c>
      <c r="C17" s="18" t="s">
        <v>408</v>
      </c>
      <c r="D17" s="19" t="s">
        <v>409</v>
      </c>
      <c r="E17" s="18" t="s">
        <v>31</v>
      </c>
      <c r="F17" s="18" t="s">
        <v>410</v>
      </c>
      <c r="G17" s="18" t="s">
        <v>411</v>
      </c>
      <c r="H17" s="18" t="s">
        <v>362</v>
      </c>
      <c r="I17" s="18" t="s">
        <v>412</v>
      </c>
      <c r="J17" s="20" t="s">
        <v>413</v>
      </c>
    </row>
    <row r="18" customFormat="false" ht="48" hidden="false" customHeight="true" outlineLevel="0" collapsed="false">
      <c r="A18" s="16" t="n">
        <v>14</v>
      </c>
      <c r="B18" s="17" t="n">
        <v>2</v>
      </c>
      <c r="C18" s="18" t="s">
        <v>408</v>
      </c>
      <c r="D18" s="19" t="s">
        <v>414</v>
      </c>
      <c r="E18" s="18" t="s">
        <v>31</v>
      </c>
      <c r="F18" s="18" t="s">
        <v>415</v>
      </c>
      <c r="G18" s="18" t="s">
        <v>411</v>
      </c>
      <c r="H18" s="18" t="s">
        <v>362</v>
      </c>
      <c r="I18" s="18" t="s">
        <v>412</v>
      </c>
      <c r="J18" s="20" t="s">
        <v>416</v>
      </c>
    </row>
    <row r="19" customFormat="false" ht="48" hidden="false" customHeight="true" outlineLevel="0" collapsed="false">
      <c r="A19" s="16" t="n">
        <v>15</v>
      </c>
      <c r="B19" s="17" t="n">
        <v>2</v>
      </c>
      <c r="C19" s="18" t="s">
        <v>417</v>
      </c>
      <c r="D19" s="19" t="s">
        <v>418</v>
      </c>
      <c r="E19" s="18" t="s">
        <v>31</v>
      </c>
      <c r="F19" s="18" t="s">
        <v>419</v>
      </c>
      <c r="G19" s="18" t="s">
        <v>420</v>
      </c>
      <c r="H19" s="18" t="s">
        <v>362</v>
      </c>
      <c r="I19" s="18" t="s">
        <v>421</v>
      </c>
      <c r="J19" s="20" t="s">
        <v>422</v>
      </c>
    </row>
    <row r="20" customFormat="false" ht="48" hidden="false" customHeight="true" outlineLevel="0" collapsed="false">
      <c r="A20" s="16" t="n">
        <v>16</v>
      </c>
      <c r="B20" s="17" t="n">
        <v>2</v>
      </c>
      <c r="C20" s="18" t="s">
        <v>423</v>
      </c>
      <c r="D20" s="19" t="s">
        <v>424</v>
      </c>
      <c r="E20" s="18" t="s">
        <v>31</v>
      </c>
      <c r="F20" s="18" t="s">
        <v>425</v>
      </c>
      <c r="G20" s="18" t="s">
        <v>426</v>
      </c>
      <c r="H20" s="18" t="s">
        <v>362</v>
      </c>
      <c r="I20" s="18" t="s">
        <v>427</v>
      </c>
      <c r="J20" s="20" t="s">
        <v>428</v>
      </c>
    </row>
    <row r="21" customFormat="false" ht="48" hidden="false" customHeight="true" outlineLevel="0" collapsed="false">
      <c r="A21" s="16" t="n">
        <v>17</v>
      </c>
      <c r="B21" s="17" t="n">
        <v>3</v>
      </c>
      <c r="C21" s="18" t="s">
        <v>423</v>
      </c>
      <c r="D21" s="19" t="s">
        <v>429</v>
      </c>
      <c r="E21" s="18" t="s">
        <v>31</v>
      </c>
      <c r="F21" s="18" t="s">
        <v>430</v>
      </c>
      <c r="G21" s="18" t="s">
        <v>426</v>
      </c>
      <c r="H21" s="18" t="s">
        <v>362</v>
      </c>
      <c r="I21" s="18" t="s">
        <v>427</v>
      </c>
      <c r="J21" s="20" t="s">
        <v>431</v>
      </c>
    </row>
    <row r="22" customFormat="false" ht="48" hidden="false" customHeight="true" outlineLevel="0" collapsed="false">
      <c r="A22" s="16" t="n">
        <v>18</v>
      </c>
      <c r="B22" s="17" t="n">
        <v>3</v>
      </c>
      <c r="C22" s="18" t="s">
        <v>423</v>
      </c>
      <c r="D22" s="19" t="s">
        <v>432</v>
      </c>
      <c r="E22" s="18" t="s">
        <v>31</v>
      </c>
      <c r="F22" s="18" t="s">
        <v>433</v>
      </c>
      <c r="G22" s="18" t="s">
        <v>426</v>
      </c>
      <c r="H22" s="18" t="s">
        <v>362</v>
      </c>
      <c r="I22" s="18" t="s">
        <v>427</v>
      </c>
      <c r="J22" s="20" t="s">
        <v>434</v>
      </c>
    </row>
    <row r="23" customFormat="false" ht="48" hidden="false" customHeight="true" outlineLevel="0" collapsed="false">
      <c r="A23" s="16" t="n">
        <v>19</v>
      </c>
      <c r="B23" s="17" t="n">
        <v>4</v>
      </c>
      <c r="C23" s="18" t="s">
        <v>408</v>
      </c>
      <c r="D23" s="19" t="s">
        <v>435</v>
      </c>
      <c r="E23" s="18" t="s">
        <v>31</v>
      </c>
      <c r="F23" s="18" t="s">
        <v>436</v>
      </c>
      <c r="G23" s="18" t="s">
        <v>411</v>
      </c>
      <c r="H23" s="18" t="s">
        <v>362</v>
      </c>
      <c r="I23" s="18" t="s">
        <v>412</v>
      </c>
      <c r="J23" s="20" t="s">
        <v>437</v>
      </c>
    </row>
    <row r="24" customFormat="false" ht="48" hidden="false" customHeight="true" outlineLevel="0" collapsed="false">
      <c r="A24" s="16" t="n">
        <v>20</v>
      </c>
      <c r="B24" s="17" t="n">
        <v>4</v>
      </c>
      <c r="C24" s="18" t="s">
        <v>408</v>
      </c>
      <c r="D24" s="19" t="s">
        <v>438</v>
      </c>
      <c r="E24" s="18" t="s">
        <v>31</v>
      </c>
      <c r="F24" s="18" t="s">
        <v>439</v>
      </c>
      <c r="G24" s="18" t="s">
        <v>411</v>
      </c>
      <c r="H24" s="18" t="s">
        <v>362</v>
      </c>
      <c r="I24" s="18" t="s">
        <v>412</v>
      </c>
      <c r="J24" s="20" t="s">
        <v>440</v>
      </c>
    </row>
    <row r="25" customFormat="false" ht="48" hidden="false" customHeight="true" outlineLevel="0" collapsed="false">
      <c r="A25" s="16" t="n">
        <v>21</v>
      </c>
      <c r="B25" s="17" t="n">
        <v>4</v>
      </c>
      <c r="C25" s="18" t="s">
        <v>408</v>
      </c>
      <c r="D25" s="19" t="s">
        <v>441</v>
      </c>
      <c r="E25" s="18" t="s">
        <v>31</v>
      </c>
      <c r="F25" s="18" t="s">
        <v>442</v>
      </c>
      <c r="G25" s="18" t="s">
        <v>411</v>
      </c>
      <c r="H25" s="18" t="s">
        <v>362</v>
      </c>
      <c r="I25" s="18" t="s">
        <v>412</v>
      </c>
      <c r="J25" s="20" t="s">
        <v>443</v>
      </c>
    </row>
  </sheetData>
  <mergeCells count="3">
    <mergeCell ref="A1:J1"/>
    <mergeCell ref="A2:J2"/>
    <mergeCell ref="A3:J3"/>
  </mergeCells>
  <conditionalFormatting sqref="G5:G25">
    <cfRule type="expression" priority="2" aboveAverage="0" equalAverage="0" bottom="0" percent="0" rank="0" text="" dxfId="7">
      <formula>G5="Not in voice manifest"</formula>
    </cfRule>
  </conditionalFormatting>
  <conditionalFormatting sqref="H5:H25">
    <cfRule type="expression" priority="3" aboveAverage="0" equalAverage="0" bottom="0" percent="0" rank="0" text="" dxfId="7">
      <formula>H5="Recorded"</formula>
    </cfRule>
  </conditionalFormatting>
  <dataValidations count="1">
    <dataValidation allowBlank="false" errorStyle="stop" operator="between" showDropDown="false" showErrorMessage="false" showInputMessage="false" sqref="H5:H25" type="list">
      <formula1>"Review,Voice planned,Skip,Resolved"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7D92"/>
    <pageSetUpPr fitToPage="false"/>
  </sheetPr>
  <dimension ref="A1:J1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11"/>
    <col collapsed="false" customWidth="true" hidden="false" outlineLevel="0" max="3" min="3" style="1" width="36"/>
    <col collapsed="false" customWidth="true" hidden="false" outlineLevel="0" max="4" min="4" style="1" width="14"/>
    <col collapsed="false" customWidth="true" hidden="false" outlineLevel="0" max="5" min="5" style="1" width="23"/>
    <col collapsed="false" customWidth="true" hidden="false" outlineLevel="0" max="6" min="6" style="1" width="86"/>
    <col collapsed="false" customWidth="true" hidden="false" outlineLevel="0" max="7" min="7" style="1" width="27"/>
    <col collapsed="false" customWidth="true" hidden="false" outlineLevel="0" max="8" min="8" style="1" width="21"/>
    <col collapsed="false" customWidth="true" hidden="false" outlineLevel="0" max="9" min="9" style="1" width="74"/>
    <col collapsed="false" customWidth="true" hidden="false" outlineLevel="0" max="10" min="10" style="1" width="72"/>
  </cols>
  <sheetData>
    <row r="1" customFormat="false" ht="33.75" hidden="false" customHeight="true" outlineLevel="0" collapsed="false">
      <c r="A1" s="14" t="s">
        <v>444</v>
      </c>
      <c r="B1" s="14"/>
      <c r="C1" s="14"/>
      <c r="D1" s="14"/>
      <c r="E1" s="14"/>
      <c r="F1" s="14"/>
      <c r="G1" s="14"/>
      <c r="H1" s="14"/>
      <c r="I1" s="14"/>
      <c r="J1" s="14"/>
    </row>
    <row r="2" customFormat="false" ht="27" hidden="false" customHeight="true" outlineLevel="0" collapsed="false">
      <c r="A2" s="3" t="s">
        <v>38</v>
      </c>
      <c r="B2" s="3"/>
      <c r="C2" s="3"/>
      <c r="D2" s="3"/>
      <c r="E2" s="3"/>
      <c r="F2" s="3"/>
      <c r="G2" s="3"/>
      <c r="H2" s="3"/>
      <c r="I2" s="3"/>
      <c r="J2" s="3"/>
    </row>
    <row r="3" customFormat="false" ht="21.75" hidden="false" customHeight="true" outlineLevel="0" collapsed="false">
      <c r="A3" s="3" t="s">
        <v>445</v>
      </c>
      <c r="B3" s="3"/>
      <c r="C3" s="3"/>
      <c r="D3" s="3"/>
      <c r="E3" s="3"/>
      <c r="F3" s="3"/>
      <c r="G3" s="3"/>
      <c r="H3" s="3"/>
      <c r="I3" s="3"/>
      <c r="J3" s="3"/>
    </row>
    <row r="4" customFormat="false" ht="30" hidden="false" customHeight="true" outlineLevel="0" collapsed="false">
      <c r="A4" s="15" t="s">
        <v>40</v>
      </c>
      <c r="B4" s="15" t="s">
        <v>6</v>
      </c>
      <c r="C4" s="15" t="s">
        <v>41</v>
      </c>
      <c r="D4" s="15" t="s">
        <v>42</v>
      </c>
      <c r="E4" s="15" t="s">
        <v>43</v>
      </c>
      <c r="F4" s="15" t="s">
        <v>44</v>
      </c>
      <c r="G4" s="15" t="s">
        <v>45</v>
      </c>
      <c r="H4" s="15" t="s">
        <v>46</v>
      </c>
      <c r="I4" s="15" t="s">
        <v>47</v>
      </c>
      <c r="J4" s="15" t="s">
        <v>48</v>
      </c>
    </row>
    <row r="5" customFormat="false" ht="48" hidden="false" customHeight="true" outlineLevel="0" collapsed="false">
      <c r="A5" s="16" t="n">
        <v>10</v>
      </c>
      <c r="B5" s="17" t="n">
        <v>2</v>
      </c>
      <c r="C5" s="18" t="s">
        <v>88</v>
      </c>
      <c r="D5" s="19" t="s">
        <v>89</v>
      </c>
      <c r="E5" s="18" t="s">
        <v>15</v>
      </c>
      <c r="F5" s="18" t="s">
        <v>90</v>
      </c>
      <c r="G5" s="18" t="s">
        <v>85</v>
      </c>
      <c r="H5" s="18" t="str">
        <f aca="false">'Missing lines'!H14</f>
        <v>To record</v>
      </c>
      <c r="I5" s="18" t="s">
        <v>86</v>
      </c>
      <c r="J5" s="20" t="s">
        <v>91</v>
      </c>
    </row>
    <row r="6" customFormat="false" ht="55.5" hidden="false" customHeight="true" outlineLevel="0" collapsed="false">
      <c r="A6" s="16" t="n">
        <v>12</v>
      </c>
      <c r="B6" s="17" t="n">
        <v>3</v>
      </c>
      <c r="C6" s="18" t="s">
        <v>96</v>
      </c>
      <c r="D6" s="19" t="s">
        <v>97</v>
      </c>
      <c r="E6" s="18" t="s">
        <v>15</v>
      </c>
      <c r="F6" s="18" t="s">
        <v>98</v>
      </c>
      <c r="G6" s="18" t="s">
        <v>85</v>
      </c>
      <c r="H6" s="18" t="str">
        <f aca="false">'Missing lines'!H16</f>
        <v>To record</v>
      </c>
      <c r="I6" s="18" t="s">
        <v>86</v>
      </c>
      <c r="J6" s="20" t="s">
        <v>99</v>
      </c>
    </row>
    <row r="7" customFormat="false" ht="55.5" hidden="false" customHeight="true" outlineLevel="0" collapsed="false">
      <c r="A7" s="16" t="n">
        <v>13</v>
      </c>
      <c r="B7" s="17" t="n">
        <v>3</v>
      </c>
      <c r="C7" s="18" t="s">
        <v>100</v>
      </c>
      <c r="D7" s="19" t="s">
        <v>101</v>
      </c>
      <c r="E7" s="18" t="s">
        <v>15</v>
      </c>
      <c r="F7" s="18" t="s">
        <v>102</v>
      </c>
      <c r="G7" s="18" t="s">
        <v>85</v>
      </c>
      <c r="H7" s="18" t="str">
        <f aca="false">'Missing lines'!H17</f>
        <v>To record</v>
      </c>
      <c r="I7" s="18" t="s">
        <v>103</v>
      </c>
      <c r="J7" s="20" t="s">
        <v>104</v>
      </c>
    </row>
    <row r="8" customFormat="false" ht="48" hidden="false" customHeight="true" outlineLevel="0" collapsed="false">
      <c r="A8" s="16" t="n">
        <v>14</v>
      </c>
      <c r="B8" s="17" t="n">
        <v>3</v>
      </c>
      <c r="C8" s="18" t="s">
        <v>105</v>
      </c>
      <c r="D8" s="19" t="s">
        <v>106</v>
      </c>
      <c r="E8" s="18" t="s">
        <v>15</v>
      </c>
      <c r="F8" s="18" t="s">
        <v>107</v>
      </c>
      <c r="G8" s="18" t="s">
        <v>85</v>
      </c>
      <c r="H8" s="18" t="str">
        <f aca="false">'Missing lines'!H18</f>
        <v>To record</v>
      </c>
      <c r="I8" s="18" t="s">
        <v>86</v>
      </c>
      <c r="J8" s="20" t="s">
        <v>108</v>
      </c>
    </row>
    <row r="9" customFormat="false" ht="48" hidden="false" customHeight="true" outlineLevel="0" collapsed="false">
      <c r="A9" s="16" t="n">
        <v>15</v>
      </c>
      <c r="B9" s="17" t="n">
        <v>3</v>
      </c>
      <c r="C9" s="18" t="s">
        <v>105</v>
      </c>
      <c r="D9" s="19" t="s">
        <v>109</v>
      </c>
      <c r="E9" s="18" t="s">
        <v>15</v>
      </c>
      <c r="F9" s="18" t="s">
        <v>110</v>
      </c>
      <c r="G9" s="18" t="s">
        <v>85</v>
      </c>
      <c r="H9" s="18" t="str">
        <f aca="false">'Missing lines'!H19</f>
        <v>To record</v>
      </c>
      <c r="I9" s="18" t="s">
        <v>86</v>
      </c>
      <c r="J9" s="20" t="s">
        <v>111</v>
      </c>
    </row>
    <row r="10" customFormat="false" ht="48" hidden="false" customHeight="true" outlineLevel="0" collapsed="false">
      <c r="A10" s="16" t="n">
        <v>16</v>
      </c>
      <c r="B10" s="17" t="n">
        <v>3</v>
      </c>
      <c r="C10" s="18" t="s">
        <v>105</v>
      </c>
      <c r="D10" s="19" t="s">
        <v>112</v>
      </c>
      <c r="E10" s="18" t="s">
        <v>15</v>
      </c>
      <c r="F10" s="18" t="s">
        <v>113</v>
      </c>
      <c r="G10" s="18" t="s">
        <v>85</v>
      </c>
      <c r="H10" s="18" t="str">
        <f aca="false">'Missing lines'!H20</f>
        <v>To record</v>
      </c>
      <c r="I10" s="18" t="s">
        <v>86</v>
      </c>
      <c r="J10" s="20" t="s">
        <v>114</v>
      </c>
    </row>
    <row r="11" customFormat="false" ht="48" hidden="false" customHeight="true" outlineLevel="0" collapsed="false">
      <c r="A11" s="16" t="n">
        <v>17</v>
      </c>
      <c r="B11" s="17" t="n">
        <v>3</v>
      </c>
      <c r="C11" s="18" t="s">
        <v>115</v>
      </c>
      <c r="D11" s="19" t="s">
        <v>116</v>
      </c>
      <c r="E11" s="18" t="s">
        <v>15</v>
      </c>
      <c r="F11" s="18" t="s">
        <v>117</v>
      </c>
      <c r="G11" s="18" t="s">
        <v>85</v>
      </c>
      <c r="H11" s="18" t="str">
        <f aca="false">'Missing lines'!H21</f>
        <v>To record</v>
      </c>
      <c r="I11" s="18" t="s">
        <v>86</v>
      </c>
      <c r="J11" s="20" t="s">
        <v>118</v>
      </c>
    </row>
    <row r="12" customFormat="false" ht="48" hidden="false" customHeight="true" outlineLevel="0" collapsed="false">
      <c r="A12" s="16" t="n">
        <v>41</v>
      </c>
      <c r="B12" s="17" t="n">
        <v>3</v>
      </c>
      <c r="C12" s="18" t="s">
        <v>212</v>
      </c>
      <c r="D12" s="19" t="s">
        <v>213</v>
      </c>
      <c r="E12" s="18" t="s">
        <v>15</v>
      </c>
      <c r="F12" s="18" t="s">
        <v>214</v>
      </c>
      <c r="G12" s="18" t="s">
        <v>85</v>
      </c>
      <c r="H12" s="18" t="str">
        <f aca="false">'Missing lines'!H45</f>
        <v>To record</v>
      </c>
      <c r="I12" s="18" t="s">
        <v>86</v>
      </c>
      <c r="J12" s="20" t="s">
        <v>215</v>
      </c>
    </row>
    <row r="13" customFormat="false" ht="48" hidden="false" customHeight="true" outlineLevel="0" collapsed="false">
      <c r="A13" s="16" t="n">
        <v>42</v>
      </c>
      <c r="B13" s="17" t="n">
        <v>3</v>
      </c>
      <c r="C13" s="18" t="s">
        <v>216</v>
      </c>
      <c r="D13" s="19" t="s">
        <v>217</v>
      </c>
      <c r="E13" s="18" t="s">
        <v>15</v>
      </c>
      <c r="F13" s="18" t="s">
        <v>218</v>
      </c>
      <c r="G13" s="18" t="s">
        <v>85</v>
      </c>
      <c r="H13" s="18" t="str">
        <f aca="false">'Missing lines'!H46</f>
        <v>To record</v>
      </c>
      <c r="I13" s="18" t="s">
        <v>86</v>
      </c>
      <c r="J13" s="20" t="s">
        <v>219</v>
      </c>
    </row>
    <row r="14" customFormat="false" ht="48" hidden="false" customHeight="true" outlineLevel="0" collapsed="false">
      <c r="A14" s="16" t="n">
        <v>56</v>
      </c>
      <c r="B14" s="17" t="n">
        <v>3</v>
      </c>
      <c r="C14" s="18" t="s">
        <v>273</v>
      </c>
      <c r="D14" s="19" t="s">
        <v>274</v>
      </c>
      <c r="E14" s="18" t="s">
        <v>15</v>
      </c>
      <c r="F14" s="18" t="s">
        <v>275</v>
      </c>
      <c r="G14" s="18" t="s">
        <v>85</v>
      </c>
      <c r="H14" s="18" t="str">
        <f aca="false">'Missing lines'!H60</f>
        <v>To record</v>
      </c>
      <c r="I14" s="18" t="s">
        <v>86</v>
      </c>
      <c r="J14" s="20" t="s">
        <v>276</v>
      </c>
    </row>
    <row r="15" customFormat="false" ht="48" hidden="false" customHeight="true" outlineLevel="0" collapsed="false">
      <c r="A15" s="16" t="n">
        <v>58</v>
      </c>
      <c r="B15" s="17" t="n">
        <v>3</v>
      </c>
      <c r="C15" s="18" t="s">
        <v>281</v>
      </c>
      <c r="D15" s="19" t="s">
        <v>282</v>
      </c>
      <c r="E15" s="18" t="s">
        <v>15</v>
      </c>
      <c r="F15" s="18" t="s">
        <v>283</v>
      </c>
      <c r="G15" s="18" t="s">
        <v>85</v>
      </c>
      <c r="H15" s="18" t="str">
        <f aca="false">'Missing lines'!H62</f>
        <v>To record</v>
      </c>
      <c r="I15" s="18" t="s">
        <v>284</v>
      </c>
      <c r="J15" s="20" t="s">
        <v>285</v>
      </c>
    </row>
    <row r="16" customFormat="false" ht="48" hidden="false" customHeight="true" outlineLevel="0" collapsed="false">
      <c r="A16" s="16" t="n">
        <v>59</v>
      </c>
      <c r="B16" s="17" t="n">
        <v>3</v>
      </c>
      <c r="C16" s="18" t="s">
        <v>286</v>
      </c>
      <c r="D16" s="19" t="s">
        <v>287</v>
      </c>
      <c r="E16" s="18" t="s">
        <v>15</v>
      </c>
      <c r="F16" s="18" t="s">
        <v>288</v>
      </c>
      <c r="G16" s="18" t="s">
        <v>85</v>
      </c>
      <c r="H16" s="18" t="str">
        <f aca="false">'Missing lines'!H63</f>
        <v>To record</v>
      </c>
      <c r="I16" s="18" t="s">
        <v>86</v>
      </c>
      <c r="J16" s="20" t="s">
        <v>289</v>
      </c>
    </row>
  </sheetData>
  <mergeCells count="3">
    <mergeCell ref="A1:J1"/>
    <mergeCell ref="A2:J2"/>
    <mergeCell ref="A3:J3"/>
  </mergeCells>
  <conditionalFormatting sqref="G5:G16">
    <cfRule type="expression" priority="2" aboveAverage="0" equalAverage="0" bottom="0" percent="0" rank="0" text="" dxfId="7">
      <formula>G5="Not in voice manifest"</formula>
    </cfRule>
  </conditionalFormatting>
  <conditionalFormatting sqref="H5:H16">
    <cfRule type="expression" priority="3" aboveAverage="0" equalAverage="0" bottom="0" percent="0" rank="0" text="" dxfId="7">
      <formula>H5="Recorded"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7D92"/>
    <pageSetUpPr fitToPage="false"/>
  </sheetPr>
  <dimension ref="A1:J7"/>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11"/>
    <col collapsed="false" customWidth="true" hidden="false" outlineLevel="0" max="3" min="3" style="1" width="36"/>
    <col collapsed="false" customWidth="true" hidden="false" outlineLevel="0" max="4" min="4" style="1" width="14"/>
    <col collapsed="false" customWidth="true" hidden="false" outlineLevel="0" max="5" min="5" style="1" width="23"/>
    <col collapsed="false" customWidth="true" hidden="false" outlineLevel="0" max="6" min="6" style="1" width="86"/>
    <col collapsed="false" customWidth="true" hidden="false" outlineLevel="0" max="7" min="7" style="1" width="27"/>
    <col collapsed="false" customWidth="true" hidden="false" outlineLevel="0" max="8" min="8" style="1" width="21"/>
    <col collapsed="false" customWidth="true" hidden="false" outlineLevel="0" max="9" min="9" style="1" width="74"/>
    <col collapsed="false" customWidth="true" hidden="false" outlineLevel="0" max="10" min="10" style="1" width="72"/>
  </cols>
  <sheetData>
    <row r="1" customFormat="false" ht="33.75" hidden="false" customHeight="true" outlineLevel="0" collapsed="false">
      <c r="A1" s="14" t="s">
        <v>446</v>
      </c>
      <c r="B1" s="14"/>
      <c r="C1" s="14"/>
      <c r="D1" s="14"/>
      <c r="E1" s="14"/>
      <c r="F1" s="14"/>
      <c r="G1" s="14"/>
      <c r="H1" s="14"/>
      <c r="I1" s="14"/>
      <c r="J1" s="14"/>
    </row>
    <row r="2" customFormat="false" ht="27" hidden="false" customHeight="true" outlineLevel="0" collapsed="false">
      <c r="A2" s="3" t="s">
        <v>38</v>
      </c>
      <c r="B2" s="3"/>
      <c r="C2" s="3"/>
      <c r="D2" s="3"/>
      <c r="E2" s="3"/>
      <c r="F2" s="3"/>
      <c r="G2" s="3"/>
      <c r="H2" s="3"/>
      <c r="I2" s="3"/>
      <c r="J2" s="3"/>
    </row>
    <row r="3" customFormat="false" ht="21.75" hidden="false" customHeight="true" outlineLevel="0" collapsed="false">
      <c r="A3" s="3" t="s">
        <v>445</v>
      </c>
      <c r="B3" s="3"/>
      <c r="C3" s="3"/>
      <c r="D3" s="3"/>
      <c r="E3" s="3"/>
      <c r="F3" s="3"/>
      <c r="G3" s="3"/>
      <c r="H3" s="3"/>
      <c r="I3" s="3"/>
      <c r="J3" s="3"/>
    </row>
    <row r="4" customFormat="false" ht="30" hidden="false" customHeight="true" outlineLevel="0" collapsed="false">
      <c r="A4" s="15" t="s">
        <v>40</v>
      </c>
      <c r="B4" s="15" t="s">
        <v>6</v>
      </c>
      <c r="C4" s="15" t="s">
        <v>41</v>
      </c>
      <c r="D4" s="15" t="s">
        <v>42</v>
      </c>
      <c r="E4" s="15" t="s">
        <v>43</v>
      </c>
      <c r="F4" s="15" t="s">
        <v>44</v>
      </c>
      <c r="G4" s="15" t="s">
        <v>45</v>
      </c>
      <c r="H4" s="15" t="s">
        <v>46</v>
      </c>
      <c r="I4" s="15" t="s">
        <v>47</v>
      </c>
      <c r="J4" s="15" t="s">
        <v>48</v>
      </c>
    </row>
    <row r="5" customFormat="false" ht="55.5" hidden="false" customHeight="true" outlineLevel="0" collapsed="false">
      <c r="A5" s="16" t="n">
        <v>1</v>
      </c>
      <c r="B5" s="17" t="n">
        <v>1</v>
      </c>
      <c r="C5" s="18" t="s">
        <v>49</v>
      </c>
      <c r="D5" s="19" t="s">
        <v>50</v>
      </c>
      <c r="E5" s="18" t="s">
        <v>17</v>
      </c>
      <c r="F5" s="18" t="s">
        <v>51</v>
      </c>
      <c r="G5" s="18" t="s">
        <v>52</v>
      </c>
      <c r="H5" s="18" t="str">
        <f aca="false">'Missing lines'!H5</f>
        <v>To record</v>
      </c>
      <c r="I5" s="18" t="s">
        <v>54</v>
      </c>
      <c r="J5" s="20" t="s">
        <v>55</v>
      </c>
    </row>
    <row r="6" customFormat="false" ht="55.5" hidden="false" customHeight="true" outlineLevel="0" collapsed="false">
      <c r="A6" s="16" t="n">
        <v>2</v>
      </c>
      <c r="B6" s="17" t="n">
        <v>1</v>
      </c>
      <c r="C6" s="18" t="s">
        <v>49</v>
      </c>
      <c r="D6" s="19" t="s">
        <v>56</v>
      </c>
      <c r="E6" s="18" t="s">
        <v>17</v>
      </c>
      <c r="F6" s="18" t="s">
        <v>57</v>
      </c>
      <c r="G6" s="18" t="s">
        <v>52</v>
      </c>
      <c r="H6" s="18" t="str">
        <f aca="false">'Missing lines'!H6</f>
        <v>To record</v>
      </c>
      <c r="I6" s="18" t="s">
        <v>54</v>
      </c>
      <c r="J6" s="20" t="s">
        <v>58</v>
      </c>
    </row>
    <row r="7" customFormat="false" ht="55.5" hidden="false" customHeight="true" outlineLevel="0" collapsed="false">
      <c r="A7" s="16" t="n">
        <v>3</v>
      </c>
      <c r="B7" s="17" t="n">
        <v>1</v>
      </c>
      <c r="C7" s="18" t="s">
        <v>49</v>
      </c>
      <c r="D7" s="19" t="s">
        <v>59</v>
      </c>
      <c r="E7" s="18" t="s">
        <v>17</v>
      </c>
      <c r="F7" s="18" t="s">
        <v>60</v>
      </c>
      <c r="G7" s="18" t="s">
        <v>52</v>
      </c>
      <c r="H7" s="18" t="str">
        <f aca="false">'Missing lines'!H7</f>
        <v>To record</v>
      </c>
      <c r="I7" s="18" t="s">
        <v>54</v>
      </c>
      <c r="J7" s="20" t="s">
        <v>61</v>
      </c>
    </row>
  </sheetData>
  <mergeCells count="3">
    <mergeCell ref="A1:J1"/>
    <mergeCell ref="A2:J2"/>
    <mergeCell ref="A3:J3"/>
  </mergeCells>
  <conditionalFormatting sqref="G5:G7">
    <cfRule type="expression" priority="2" aboveAverage="0" equalAverage="0" bottom="0" percent="0" rank="0" text="" dxfId="7">
      <formula>G5="Not in voice manifest"</formula>
    </cfRule>
  </conditionalFormatting>
  <conditionalFormatting sqref="H5:H7">
    <cfRule type="expression" priority="3" aboveAverage="0" equalAverage="0" bottom="0" percent="0" rank="0" text="" dxfId="7">
      <formula>H5="Recorded"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7D92"/>
    <pageSetUpPr fitToPage="false"/>
  </sheetPr>
  <dimension ref="A1:J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11"/>
    <col collapsed="false" customWidth="true" hidden="false" outlineLevel="0" max="3" min="3" style="1" width="36"/>
    <col collapsed="false" customWidth="true" hidden="false" outlineLevel="0" max="4" min="4" style="1" width="14"/>
    <col collapsed="false" customWidth="true" hidden="false" outlineLevel="0" max="5" min="5" style="1" width="23"/>
    <col collapsed="false" customWidth="true" hidden="false" outlineLevel="0" max="6" min="6" style="1" width="86"/>
    <col collapsed="false" customWidth="true" hidden="false" outlineLevel="0" max="7" min="7" style="1" width="27"/>
    <col collapsed="false" customWidth="true" hidden="false" outlineLevel="0" max="8" min="8" style="1" width="21"/>
    <col collapsed="false" customWidth="true" hidden="false" outlineLevel="0" max="9" min="9" style="1" width="74"/>
    <col collapsed="false" customWidth="true" hidden="false" outlineLevel="0" max="10" min="10" style="1" width="72"/>
  </cols>
  <sheetData>
    <row r="1" customFormat="false" ht="33.75" hidden="false" customHeight="true" outlineLevel="0" collapsed="false">
      <c r="A1" s="14" t="s">
        <v>447</v>
      </c>
      <c r="B1" s="14"/>
      <c r="C1" s="14"/>
      <c r="D1" s="14"/>
      <c r="E1" s="14"/>
      <c r="F1" s="14"/>
      <c r="G1" s="14"/>
      <c r="H1" s="14"/>
      <c r="I1" s="14"/>
      <c r="J1" s="14"/>
    </row>
    <row r="2" customFormat="false" ht="27" hidden="false" customHeight="true" outlineLevel="0" collapsed="false">
      <c r="A2" s="3" t="s">
        <v>38</v>
      </c>
      <c r="B2" s="3"/>
      <c r="C2" s="3"/>
      <c r="D2" s="3"/>
      <c r="E2" s="3"/>
      <c r="F2" s="3"/>
      <c r="G2" s="3"/>
      <c r="H2" s="3"/>
      <c r="I2" s="3"/>
      <c r="J2" s="3"/>
    </row>
    <row r="3" customFormat="false" ht="21.75" hidden="false" customHeight="true" outlineLevel="0" collapsed="false">
      <c r="A3" s="3" t="s">
        <v>445</v>
      </c>
      <c r="B3" s="3"/>
      <c r="C3" s="3"/>
      <c r="D3" s="3"/>
      <c r="E3" s="3"/>
      <c r="F3" s="3"/>
      <c r="G3" s="3"/>
      <c r="H3" s="3"/>
      <c r="I3" s="3"/>
      <c r="J3" s="3"/>
    </row>
    <row r="4" customFormat="false" ht="30" hidden="false" customHeight="true" outlineLevel="0" collapsed="false">
      <c r="A4" s="15" t="s">
        <v>40</v>
      </c>
      <c r="B4" s="15" t="s">
        <v>6</v>
      </c>
      <c r="C4" s="15" t="s">
        <v>41</v>
      </c>
      <c r="D4" s="15" t="s">
        <v>42</v>
      </c>
      <c r="E4" s="15" t="s">
        <v>43</v>
      </c>
      <c r="F4" s="15" t="s">
        <v>44</v>
      </c>
      <c r="G4" s="15" t="s">
        <v>45</v>
      </c>
      <c r="H4" s="15" t="s">
        <v>46</v>
      </c>
      <c r="I4" s="15" t="s">
        <v>47</v>
      </c>
      <c r="J4" s="15" t="s">
        <v>48</v>
      </c>
    </row>
    <row r="5" customFormat="false" ht="55.5" hidden="false" customHeight="true" outlineLevel="0" collapsed="false">
      <c r="A5" s="16" t="n">
        <v>6</v>
      </c>
      <c r="B5" s="17" t="n">
        <v>2</v>
      </c>
      <c r="C5" s="18" t="s">
        <v>71</v>
      </c>
      <c r="D5" s="19" t="s">
        <v>72</v>
      </c>
      <c r="E5" s="18" t="s">
        <v>18</v>
      </c>
      <c r="F5" s="18" t="s">
        <v>73</v>
      </c>
      <c r="G5" s="18" t="s">
        <v>52</v>
      </c>
      <c r="H5" s="18" t="str">
        <f aca="false">'Missing lines'!H10</f>
        <v>To record</v>
      </c>
      <c r="I5" s="18" t="s">
        <v>65</v>
      </c>
      <c r="J5" s="20" t="s">
        <v>74</v>
      </c>
    </row>
  </sheetData>
  <mergeCells count="3">
    <mergeCell ref="A1:J1"/>
    <mergeCell ref="A2:J2"/>
    <mergeCell ref="A3:J3"/>
  </mergeCells>
  <conditionalFormatting sqref="G5">
    <cfRule type="expression" priority="2" aboveAverage="0" equalAverage="0" bottom="0" percent="0" rank="0" text="" dxfId="7">
      <formula>G5="Not in voice manifest"</formula>
    </cfRule>
  </conditionalFormatting>
  <conditionalFormatting sqref="H5">
    <cfRule type="expression" priority="3" aboveAverage="0" equalAverage="0" bottom="0" percent="0" rank="0" text="" dxfId="7">
      <formula>H5="Recorded"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7D92"/>
    <pageSetUpPr fitToPage="false"/>
  </sheetPr>
  <dimension ref="A1:J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11"/>
    <col collapsed="false" customWidth="true" hidden="false" outlineLevel="0" max="3" min="3" style="1" width="36"/>
    <col collapsed="false" customWidth="true" hidden="false" outlineLevel="0" max="4" min="4" style="1" width="14"/>
    <col collapsed="false" customWidth="true" hidden="false" outlineLevel="0" max="5" min="5" style="1" width="23"/>
    <col collapsed="false" customWidth="true" hidden="false" outlineLevel="0" max="6" min="6" style="1" width="86"/>
    <col collapsed="false" customWidth="true" hidden="false" outlineLevel="0" max="7" min="7" style="1" width="27"/>
    <col collapsed="false" customWidth="true" hidden="false" outlineLevel="0" max="8" min="8" style="1" width="21"/>
    <col collapsed="false" customWidth="true" hidden="false" outlineLevel="0" max="9" min="9" style="1" width="74"/>
    <col collapsed="false" customWidth="true" hidden="false" outlineLevel="0" max="10" min="10" style="1" width="72"/>
  </cols>
  <sheetData>
    <row r="1" customFormat="false" ht="33.75" hidden="false" customHeight="true" outlineLevel="0" collapsed="false">
      <c r="A1" s="14" t="s">
        <v>448</v>
      </c>
      <c r="B1" s="14"/>
      <c r="C1" s="14"/>
      <c r="D1" s="14"/>
      <c r="E1" s="14"/>
      <c r="F1" s="14"/>
      <c r="G1" s="14"/>
      <c r="H1" s="14"/>
      <c r="I1" s="14"/>
      <c r="J1" s="14"/>
    </row>
    <row r="2" customFormat="false" ht="27" hidden="false" customHeight="true" outlineLevel="0" collapsed="false">
      <c r="A2" s="3" t="s">
        <v>38</v>
      </c>
      <c r="B2" s="3"/>
      <c r="C2" s="3"/>
      <c r="D2" s="3"/>
      <c r="E2" s="3"/>
      <c r="F2" s="3"/>
      <c r="G2" s="3"/>
      <c r="H2" s="3"/>
      <c r="I2" s="3"/>
      <c r="J2" s="3"/>
    </row>
    <row r="3" customFormat="false" ht="21.75" hidden="false" customHeight="true" outlineLevel="0" collapsed="false">
      <c r="A3" s="3" t="s">
        <v>445</v>
      </c>
      <c r="B3" s="3"/>
      <c r="C3" s="3"/>
      <c r="D3" s="3"/>
      <c r="E3" s="3"/>
      <c r="F3" s="3"/>
      <c r="G3" s="3"/>
      <c r="H3" s="3"/>
      <c r="I3" s="3"/>
      <c r="J3" s="3"/>
    </row>
    <row r="4" customFormat="false" ht="30" hidden="false" customHeight="true" outlineLevel="0" collapsed="false">
      <c r="A4" s="15" t="s">
        <v>40</v>
      </c>
      <c r="B4" s="15" t="s">
        <v>6</v>
      </c>
      <c r="C4" s="15" t="s">
        <v>41</v>
      </c>
      <c r="D4" s="15" t="s">
        <v>42</v>
      </c>
      <c r="E4" s="15" t="s">
        <v>43</v>
      </c>
      <c r="F4" s="15" t="s">
        <v>44</v>
      </c>
      <c r="G4" s="15" t="s">
        <v>45</v>
      </c>
      <c r="H4" s="15" t="s">
        <v>46</v>
      </c>
      <c r="I4" s="15" t="s">
        <v>47</v>
      </c>
      <c r="J4" s="15" t="s">
        <v>48</v>
      </c>
    </row>
    <row r="5" customFormat="false" ht="55.5" hidden="false" customHeight="true" outlineLevel="0" collapsed="false">
      <c r="A5" s="16" t="n">
        <v>5</v>
      </c>
      <c r="B5" s="17" t="n">
        <v>2</v>
      </c>
      <c r="C5" s="18" t="s">
        <v>67</v>
      </c>
      <c r="D5" s="19" t="s">
        <v>68</v>
      </c>
      <c r="E5" s="18" t="s">
        <v>19</v>
      </c>
      <c r="F5" s="18" t="s">
        <v>69</v>
      </c>
      <c r="G5" s="18" t="s">
        <v>52</v>
      </c>
      <c r="H5" s="18" t="str">
        <f aca="false">'Missing lines'!H9</f>
        <v>To record</v>
      </c>
      <c r="I5" s="18" t="s">
        <v>65</v>
      </c>
      <c r="J5" s="20" t="s">
        <v>70</v>
      </c>
    </row>
  </sheetData>
  <mergeCells count="3">
    <mergeCell ref="A1:J1"/>
    <mergeCell ref="A2:J2"/>
    <mergeCell ref="A3:J3"/>
  </mergeCells>
  <conditionalFormatting sqref="G5">
    <cfRule type="expression" priority="2" aboveAverage="0" equalAverage="0" bottom="0" percent="0" rank="0" text="" dxfId="7">
      <formula>G5="Not in voice manifest"</formula>
    </cfRule>
  </conditionalFormatting>
  <conditionalFormatting sqref="H5">
    <cfRule type="expression" priority="3" aboveAverage="0" equalAverage="0" bottom="0" percent="0" rank="0" text="" dxfId="7">
      <formula>H5="Recorded"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68932"/>
    <pageSetUpPr fitToPage="false"/>
  </sheetPr>
  <dimension ref="A1:J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11"/>
    <col collapsed="false" customWidth="true" hidden="false" outlineLevel="0" max="3" min="3" style="1" width="36"/>
    <col collapsed="false" customWidth="true" hidden="false" outlineLevel="0" max="4" min="4" style="1" width="14"/>
    <col collapsed="false" customWidth="true" hidden="false" outlineLevel="0" max="5" min="5" style="1" width="23"/>
    <col collapsed="false" customWidth="true" hidden="false" outlineLevel="0" max="6" min="6" style="1" width="86"/>
    <col collapsed="false" customWidth="true" hidden="false" outlineLevel="0" max="7" min="7" style="1" width="27"/>
    <col collapsed="false" customWidth="true" hidden="false" outlineLevel="0" max="8" min="8" style="1" width="21"/>
    <col collapsed="false" customWidth="true" hidden="false" outlineLevel="0" max="9" min="9" style="1" width="74"/>
    <col collapsed="false" customWidth="true" hidden="false" outlineLevel="0" max="10" min="10" style="1" width="72"/>
  </cols>
  <sheetData>
    <row r="1" customFormat="false" ht="33.75" hidden="false" customHeight="true" outlineLevel="0" collapsed="false">
      <c r="A1" s="14" t="s">
        <v>449</v>
      </c>
      <c r="B1" s="14"/>
      <c r="C1" s="14"/>
      <c r="D1" s="14"/>
      <c r="E1" s="14"/>
      <c r="F1" s="14"/>
      <c r="G1" s="14"/>
      <c r="H1" s="14"/>
      <c r="I1" s="14"/>
      <c r="J1" s="14"/>
    </row>
    <row r="2" customFormat="false" ht="27" hidden="false" customHeight="true" outlineLevel="0" collapsed="false">
      <c r="A2" s="3" t="s">
        <v>357</v>
      </c>
      <c r="B2" s="3"/>
      <c r="C2" s="3"/>
      <c r="D2" s="3"/>
      <c r="E2" s="3"/>
      <c r="F2" s="3"/>
      <c r="G2" s="3"/>
      <c r="H2" s="3"/>
      <c r="I2" s="3"/>
      <c r="J2" s="3"/>
    </row>
    <row r="3" customFormat="false" ht="21.75" hidden="false" customHeight="true" outlineLevel="0" collapsed="false">
      <c r="A3" s="3" t="s">
        <v>445</v>
      </c>
      <c r="B3" s="3"/>
      <c r="C3" s="3"/>
      <c r="D3" s="3"/>
      <c r="E3" s="3"/>
      <c r="F3" s="3"/>
      <c r="G3" s="3"/>
      <c r="H3" s="3"/>
      <c r="I3" s="3"/>
      <c r="J3" s="3"/>
    </row>
    <row r="4" customFormat="false" ht="30" hidden="false" customHeight="true" outlineLevel="0" collapsed="false">
      <c r="A4" s="15" t="s">
        <v>40</v>
      </c>
      <c r="B4" s="15" t="s">
        <v>6</v>
      </c>
      <c r="C4" s="15" t="s">
        <v>41</v>
      </c>
      <c r="D4" s="15" t="s">
        <v>42</v>
      </c>
      <c r="E4" s="15" t="s">
        <v>43</v>
      </c>
      <c r="F4" s="15" t="s">
        <v>44</v>
      </c>
      <c r="G4" s="15" t="s">
        <v>45</v>
      </c>
      <c r="H4" s="15" t="s">
        <v>46</v>
      </c>
      <c r="I4" s="15" t="s">
        <v>47</v>
      </c>
      <c r="J4" s="15" t="s">
        <v>48</v>
      </c>
    </row>
    <row r="5" customFormat="false" ht="55.5" hidden="false" customHeight="true" outlineLevel="0" collapsed="false">
      <c r="A5" s="16" t="n">
        <v>1</v>
      </c>
      <c r="B5" s="17" t="n">
        <v>1</v>
      </c>
      <c r="C5" s="18" t="s">
        <v>358</v>
      </c>
      <c r="D5" s="19" t="s">
        <v>359</v>
      </c>
      <c r="E5" s="18" t="s">
        <v>20</v>
      </c>
      <c r="F5" s="18" t="s">
        <v>360</v>
      </c>
      <c r="G5" s="18" t="s">
        <v>361</v>
      </c>
      <c r="H5" s="18" t="str">
        <f aca="false">'Text-only review'!H5</f>
        <v>Review</v>
      </c>
      <c r="I5" s="18" t="s">
        <v>363</v>
      </c>
      <c r="J5" s="20" t="s">
        <v>364</v>
      </c>
    </row>
    <row r="6" customFormat="false" ht="55.5" hidden="false" customHeight="true" outlineLevel="0" collapsed="false">
      <c r="A6" s="16" t="n">
        <v>2</v>
      </c>
      <c r="B6" s="17" t="n">
        <v>1</v>
      </c>
      <c r="C6" s="18" t="s">
        <v>365</v>
      </c>
      <c r="D6" s="19" t="s">
        <v>366</v>
      </c>
      <c r="E6" s="18" t="s">
        <v>20</v>
      </c>
      <c r="F6" s="18" t="s">
        <v>367</v>
      </c>
      <c r="G6" s="18" t="s">
        <v>361</v>
      </c>
      <c r="H6" s="18" t="str">
        <f aca="false">'Text-only review'!H6</f>
        <v>Review</v>
      </c>
      <c r="I6" s="18" t="s">
        <v>363</v>
      </c>
      <c r="J6" s="20" t="s">
        <v>368</v>
      </c>
    </row>
  </sheetData>
  <mergeCells count="3">
    <mergeCell ref="A1:J1"/>
    <mergeCell ref="A2:J2"/>
    <mergeCell ref="A3:J3"/>
  </mergeCells>
  <conditionalFormatting sqref="G5:G6">
    <cfRule type="expression" priority="2" aboveAverage="0" equalAverage="0" bottom="0" percent="0" rank="0" text="" dxfId="7">
      <formula>G5="Not in voice manifest"</formula>
    </cfRule>
  </conditionalFormatting>
  <conditionalFormatting sqref="H5:H6">
    <cfRule type="expression" priority="3" aboveAverage="0" equalAverage="0" bottom="0" percent="0" rank="0" text="" dxfId="7">
      <formula>H5="Recorded"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7D92"/>
    <pageSetUpPr fitToPage="false"/>
  </sheetPr>
  <dimension ref="A1:J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11"/>
    <col collapsed="false" customWidth="true" hidden="false" outlineLevel="0" max="3" min="3" style="1" width="36"/>
    <col collapsed="false" customWidth="true" hidden="false" outlineLevel="0" max="4" min="4" style="1" width="14"/>
    <col collapsed="false" customWidth="true" hidden="false" outlineLevel="0" max="5" min="5" style="1" width="23"/>
    <col collapsed="false" customWidth="true" hidden="false" outlineLevel="0" max="6" min="6" style="1" width="86"/>
    <col collapsed="false" customWidth="true" hidden="false" outlineLevel="0" max="7" min="7" style="1" width="27"/>
    <col collapsed="false" customWidth="true" hidden="false" outlineLevel="0" max="8" min="8" style="1" width="21"/>
    <col collapsed="false" customWidth="true" hidden="false" outlineLevel="0" max="9" min="9" style="1" width="74"/>
    <col collapsed="false" customWidth="true" hidden="false" outlineLevel="0" max="10" min="10" style="1" width="72"/>
  </cols>
  <sheetData>
    <row r="1" customFormat="false" ht="33.75" hidden="false" customHeight="true" outlineLevel="0" collapsed="false">
      <c r="A1" s="14" t="s">
        <v>450</v>
      </c>
      <c r="B1" s="14"/>
      <c r="C1" s="14"/>
      <c r="D1" s="14"/>
      <c r="E1" s="14"/>
      <c r="F1" s="14"/>
      <c r="G1" s="14"/>
      <c r="H1" s="14"/>
      <c r="I1" s="14"/>
      <c r="J1" s="14"/>
    </row>
    <row r="2" customFormat="false" ht="27" hidden="false" customHeight="true" outlineLevel="0" collapsed="false">
      <c r="A2" s="3" t="s">
        <v>38</v>
      </c>
      <c r="B2" s="3"/>
      <c r="C2" s="3"/>
      <c r="D2" s="3"/>
      <c r="E2" s="3"/>
      <c r="F2" s="3"/>
      <c r="G2" s="3"/>
      <c r="H2" s="3"/>
      <c r="I2" s="3"/>
      <c r="J2" s="3"/>
    </row>
    <row r="3" customFormat="false" ht="21.75" hidden="false" customHeight="true" outlineLevel="0" collapsed="false">
      <c r="A3" s="3" t="s">
        <v>445</v>
      </c>
      <c r="B3" s="3"/>
      <c r="C3" s="3"/>
      <c r="D3" s="3"/>
      <c r="E3" s="3"/>
      <c r="F3" s="3"/>
      <c r="G3" s="3"/>
      <c r="H3" s="3"/>
      <c r="I3" s="3"/>
      <c r="J3" s="3"/>
    </row>
    <row r="4" customFormat="false" ht="30" hidden="false" customHeight="true" outlineLevel="0" collapsed="false">
      <c r="A4" s="15" t="s">
        <v>40</v>
      </c>
      <c r="B4" s="15" t="s">
        <v>6</v>
      </c>
      <c r="C4" s="15" t="s">
        <v>41</v>
      </c>
      <c r="D4" s="15" t="s">
        <v>42</v>
      </c>
      <c r="E4" s="15" t="s">
        <v>43</v>
      </c>
      <c r="F4" s="15" t="s">
        <v>44</v>
      </c>
      <c r="G4" s="15" t="s">
        <v>45</v>
      </c>
      <c r="H4" s="15" t="s">
        <v>46</v>
      </c>
      <c r="I4" s="15" t="s">
        <v>47</v>
      </c>
      <c r="J4" s="15" t="s">
        <v>48</v>
      </c>
    </row>
    <row r="5" customFormat="false" ht="48" hidden="false" customHeight="true" outlineLevel="0" collapsed="false">
      <c r="A5" s="16" t="n">
        <v>11</v>
      </c>
      <c r="B5" s="17" t="n">
        <v>2</v>
      </c>
      <c r="C5" s="18" t="s">
        <v>92</v>
      </c>
      <c r="D5" s="19" t="s">
        <v>93</v>
      </c>
      <c r="E5" s="18" t="s">
        <v>21</v>
      </c>
      <c r="F5" s="18" t="s">
        <v>94</v>
      </c>
      <c r="G5" s="18" t="s">
        <v>85</v>
      </c>
      <c r="H5" s="18" t="str">
        <f aca="false">'Missing lines'!H15</f>
        <v>To record</v>
      </c>
      <c r="I5" s="18" t="s">
        <v>86</v>
      </c>
      <c r="J5" s="20" t="s">
        <v>95</v>
      </c>
    </row>
  </sheetData>
  <mergeCells count="3">
    <mergeCell ref="A1:J1"/>
    <mergeCell ref="A2:J2"/>
    <mergeCell ref="A3:J3"/>
  </mergeCells>
  <conditionalFormatting sqref="G5">
    <cfRule type="expression" priority="2" aboveAverage="0" equalAverage="0" bottom="0" percent="0" rank="0" text="" dxfId="7">
      <formula>G5="Not in voice manifest"</formula>
    </cfRule>
  </conditionalFormatting>
  <conditionalFormatting sqref="H5">
    <cfRule type="expression" priority="3" aboveAverage="0" equalAverage="0" bottom="0" percent="0" rank="0" text="" dxfId="7">
      <formula>H5="Recorded"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7D92"/>
    <pageSetUpPr fitToPage="false"/>
  </sheetPr>
  <dimension ref="A1:J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11"/>
    <col collapsed="false" customWidth="true" hidden="false" outlineLevel="0" max="3" min="3" style="1" width="36"/>
    <col collapsed="false" customWidth="true" hidden="false" outlineLevel="0" max="4" min="4" style="1" width="14"/>
    <col collapsed="false" customWidth="true" hidden="false" outlineLevel="0" max="5" min="5" style="1" width="23"/>
    <col collapsed="false" customWidth="true" hidden="false" outlineLevel="0" max="6" min="6" style="1" width="86"/>
    <col collapsed="false" customWidth="true" hidden="false" outlineLevel="0" max="7" min="7" style="1" width="27"/>
    <col collapsed="false" customWidth="true" hidden="false" outlineLevel="0" max="8" min="8" style="1" width="21"/>
    <col collapsed="false" customWidth="true" hidden="false" outlineLevel="0" max="9" min="9" style="1" width="74"/>
    <col collapsed="false" customWidth="true" hidden="false" outlineLevel="0" max="10" min="10" style="1" width="72"/>
  </cols>
  <sheetData>
    <row r="1" customFormat="false" ht="33.75" hidden="false" customHeight="true" outlineLevel="0" collapsed="false">
      <c r="A1" s="14" t="s">
        <v>451</v>
      </c>
      <c r="B1" s="14"/>
      <c r="C1" s="14"/>
      <c r="D1" s="14"/>
      <c r="E1" s="14"/>
      <c r="F1" s="14"/>
      <c r="G1" s="14"/>
      <c r="H1" s="14"/>
      <c r="I1" s="14"/>
      <c r="J1" s="14"/>
    </row>
    <row r="2" customFormat="false" ht="27" hidden="false" customHeight="true" outlineLevel="0" collapsed="false">
      <c r="A2" s="3" t="s">
        <v>38</v>
      </c>
      <c r="B2" s="3"/>
      <c r="C2" s="3"/>
      <c r="D2" s="3"/>
      <c r="E2" s="3"/>
      <c r="F2" s="3"/>
      <c r="G2" s="3"/>
      <c r="H2" s="3"/>
      <c r="I2" s="3"/>
      <c r="J2" s="3"/>
    </row>
    <row r="3" customFormat="false" ht="21.75" hidden="false" customHeight="true" outlineLevel="0" collapsed="false">
      <c r="A3" s="3" t="s">
        <v>445</v>
      </c>
      <c r="B3" s="3"/>
      <c r="C3" s="3"/>
      <c r="D3" s="3"/>
      <c r="E3" s="3"/>
      <c r="F3" s="3"/>
      <c r="G3" s="3"/>
      <c r="H3" s="3"/>
      <c r="I3" s="3"/>
      <c r="J3" s="3"/>
    </row>
    <row r="4" customFormat="false" ht="30" hidden="false" customHeight="true" outlineLevel="0" collapsed="false">
      <c r="A4" s="15" t="s">
        <v>40</v>
      </c>
      <c r="B4" s="15" t="s">
        <v>6</v>
      </c>
      <c r="C4" s="15" t="s">
        <v>41</v>
      </c>
      <c r="D4" s="15" t="s">
        <v>42</v>
      </c>
      <c r="E4" s="15" t="s">
        <v>43</v>
      </c>
      <c r="F4" s="15" t="s">
        <v>44</v>
      </c>
      <c r="G4" s="15" t="s">
        <v>45</v>
      </c>
      <c r="H4" s="15" t="s">
        <v>46</v>
      </c>
      <c r="I4" s="15" t="s">
        <v>47</v>
      </c>
      <c r="J4" s="15" t="s">
        <v>48</v>
      </c>
    </row>
    <row r="5" customFormat="false" ht="55.5" hidden="false" customHeight="true" outlineLevel="0" collapsed="false">
      <c r="A5" s="16" t="n">
        <v>62</v>
      </c>
      <c r="B5" s="17" t="n">
        <v>4</v>
      </c>
      <c r="C5" s="18" t="s">
        <v>294</v>
      </c>
      <c r="D5" s="19" t="s">
        <v>299</v>
      </c>
      <c r="E5" s="18" t="s">
        <v>22</v>
      </c>
      <c r="F5" s="18" t="s">
        <v>300</v>
      </c>
      <c r="G5" s="18" t="s">
        <v>52</v>
      </c>
      <c r="H5" s="18" t="str">
        <f aca="false">'Missing lines'!H66</f>
        <v>To record</v>
      </c>
      <c r="I5" s="18" t="s">
        <v>301</v>
      </c>
      <c r="J5" s="20" t="s">
        <v>302</v>
      </c>
    </row>
  </sheetData>
  <mergeCells count="3">
    <mergeCell ref="A1:J1"/>
    <mergeCell ref="A2:J2"/>
    <mergeCell ref="A3:J3"/>
  </mergeCells>
  <conditionalFormatting sqref="G5">
    <cfRule type="expression" priority="2" aboveAverage="0" equalAverage="0" bottom="0" percent="0" rank="0" text="" dxfId="7">
      <formula>G5="Not in voice manifest"</formula>
    </cfRule>
  </conditionalFormatting>
  <conditionalFormatting sqref="H5">
    <cfRule type="expression" priority="3" aboveAverage="0" equalAverage="0" bottom="0" percent="0" rank="0" text="" dxfId="7">
      <formula>H5="Recorded"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7D92"/>
    <pageSetUpPr fitToPage="false"/>
  </sheetPr>
  <dimension ref="A1:J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11"/>
    <col collapsed="false" customWidth="true" hidden="false" outlineLevel="0" max="3" min="3" style="1" width="36"/>
    <col collapsed="false" customWidth="true" hidden="false" outlineLevel="0" max="4" min="4" style="1" width="14"/>
    <col collapsed="false" customWidth="true" hidden="false" outlineLevel="0" max="5" min="5" style="1" width="23"/>
    <col collapsed="false" customWidth="true" hidden="false" outlineLevel="0" max="6" min="6" style="1" width="86"/>
    <col collapsed="false" customWidth="true" hidden="false" outlineLevel="0" max="7" min="7" style="1" width="27"/>
    <col collapsed="false" customWidth="true" hidden="false" outlineLevel="0" max="8" min="8" style="1" width="21"/>
    <col collapsed="false" customWidth="true" hidden="false" outlineLevel="0" max="9" min="9" style="1" width="74"/>
    <col collapsed="false" customWidth="true" hidden="false" outlineLevel="0" max="10" min="10" style="1" width="72"/>
  </cols>
  <sheetData>
    <row r="1" customFormat="false" ht="33.75" hidden="false" customHeight="true" outlineLevel="0" collapsed="false">
      <c r="A1" s="14" t="s">
        <v>452</v>
      </c>
      <c r="B1" s="14"/>
      <c r="C1" s="14"/>
      <c r="D1" s="14"/>
      <c r="E1" s="14"/>
      <c r="F1" s="14"/>
      <c r="G1" s="14"/>
      <c r="H1" s="14"/>
      <c r="I1" s="14"/>
      <c r="J1" s="14"/>
    </row>
    <row r="2" customFormat="false" ht="27" hidden="false" customHeight="true" outlineLevel="0" collapsed="false">
      <c r="A2" s="3" t="s">
        <v>38</v>
      </c>
      <c r="B2" s="3"/>
      <c r="C2" s="3"/>
      <c r="D2" s="3"/>
      <c r="E2" s="3"/>
      <c r="F2" s="3"/>
      <c r="G2" s="3"/>
      <c r="H2" s="3"/>
      <c r="I2" s="3"/>
      <c r="J2" s="3"/>
    </row>
    <row r="3" customFormat="false" ht="21.75" hidden="false" customHeight="true" outlineLevel="0" collapsed="false">
      <c r="A3" s="3" t="s">
        <v>445</v>
      </c>
      <c r="B3" s="3"/>
      <c r="C3" s="3"/>
      <c r="D3" s="3"/>
      <c r="E3" s="3"/>
      <c r="F3" s="3"/>
      <c r="G3" s="3"/>
      <c r="H3" s="3"/>
      <c r="I3" s="3"/>
      <c r="J3" s="3"/>
    </row>
    <row r="4" customFormat="false" ht="30" hidden="false" customHeight="true" outlineLevel="0" collapsed="false">
      <c r="A4" s="15" t="s">
        <v>40</v>
      </c>
      <c r="B4" s="15" t="s">
        <v>6</v>
      </c>
      <c r="C4" s="15" t="s">
        <v>41</v>
      </c>
      <c r="D4" s="15" t="s">
        <v>42</v>
      </c>
      <c r="E4" s="15" t="s">
        <v>43</v>
      </c>
      <c r="F4" s="15" t="s">
        <v>44</v>
      </c>
      <c r="G4" s="15" t="s">
        <v>45</v>
      </c>
      <c r="H4" s="15" t="s">
        <v>46</v>
      </c>
      <c r="I4" s="15" t="s">
        <v>47</v>
      </c>
      <c r="J4" s="15" t="s">
        <v>48</v>
      </c>
    </row>
    <row r="5" customFormat="false" ht="48" hidden="false" customHeight="true" outlineLevel="0" collapsed="false">
      <c r="A5" s="16" t="n">
        <v>74</v>
      </c>
      <c r="B5" s="17" t="n">
        <v>4</v>
      </c>
      <c r="C5" s="18" t="s">
        <v>339</v>
      </c>
      <c r="D5" s="19" t="s">
        <v>346</v>
      </c>
      <c r="E5" s="18" t="s">
        <v>23</v>
      </c>
      <c r="F5" s="18" t="s">
        <v>347</v>
      </c>
      <c r="G5" s="18" t="s">
        <v>52</v>
      </c>
      <c r="H5" s="18" t="str">
        <f aca="false">'Missing lines'!H78</f>
        <v>To record</v>
      </c>
      <c r="I5" s="18" t="s">
        <v>297</v>
      </c>
      <c r="J5" s="20" t="s">
        <v>348</v>
      </c>
    </row>
    <row r="6" customFormat="false" ht="48" hidden="false" customHeight="true" outlineLevel="0" collapsed="false">
      <c r="A6" s="16" t="n">
        <v>75</v>
      </c>
      <c r="B6" s="17" t="n">
        <v>4</v>
      </c>
      <c r="C6" s="18" t="s">
        <v>339</v>
      </c>
      <c r="D6" s="19" t="s">
        <v>349</v>
      </c>
      <c r="E6" s="18" t="s">
        <v>23</v>
      </c>
      <c r="F6" s="18" t="s">
        <v>350</v>
      </c>
      <c r="G6" s="18" t="s">
        <v>52</v>
      </c>
      <c r="H6" s="18" t="str">
        <f aca="false">'Missing lines'!H79</f>
        <v>To record</v>
      </c>
      <c r="I6" s="18" t="s">
        <v>297</v>
      </c>
      <c r="J6" s="20" t="s">
        <v>351</v>
      </c>
    </row>
  </sheetData>
  <mergeCells count="3">
    <mergeCell ref="A1:J1"/>
    <mergeCell ref="A2:J2"/>
    <mergeCell ref="A3:J3"/>
  </mergeCells>
  <conditionalFormatting sqref="G5:G6">
    <cfRule type="expression" priority="2" aboveAverage="0" equalAverage="0" bottom="0" percent="0" rank="0" text="" dxfId="7">
      <formula>G5="Not in voice manifest"</formula>
    </cfRule>
  </conditionalFormatting>
  <conditionalFormatting sqref="H5:H6">
    <cfRule type="expression" priority="3" aboveAverage="0" equalAverage="0" bottom="0" percent="0" rank="0" text="" dxfId="7">
      <formula>H5="Recorded"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7D92"/>
    <pageSetUpPr fitToPage="false"/>
  </sheetPr>
  <dimension ref="A1:J1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11"/>
    <col collapsed="false" customWidth="true" hidden="false" outlineLevel="0" max="3" min="3" style="1" width="36"/>
    <col collapsed="false" customWidth="true" hidden="false" outlineLevel="0" max="4" min="4" style="1" width="14"/>
    <col collapsed="false" customWidth="true" hidden="false" outlineLevel="0" max="5" min="5" style="1" width="23"/>
    <col collapsed="false" customWidth="true" hidden="false" outlineLevel="0" max="6" min="6" style="1" width="86"/>
    <col collapsed="false" customWidth="true" hidden="false" outlineLevel="0" max="7" min="7" style="1" width="27"/>
    <col collapsed="false" customWidth="true" hidden="false" outlineLevel="0" max="8" min="8" style="1" width="21"/>
    <col collapsed="false" customWidth="true" hidden="false" outlineLevel="0" max="9" min="9" style="1" width="74"/>
    <col collapsed="false" customWidth="true" hidden="false" outlineLevel="0" max="10" min="10" style="1" width="72"/>
  </cols>
  <sheetData>
    <row r="1" customFormat="false" ht="33.75" hidden="false" customHeight="true" outlineLevel="0" collapsed="false">
      <c r="A1" s="14" t="s">
        <v>453</v>
      </c>
      <c r="B1" s="14"/>
      <c r="C1" s="14"/>
      <c r="D1" s="14"/>
      <c r="E1" s="14"/>
      <c r="F1" s="14"/>
      <c r="G1" s="14"/>
      <c r="H1" s="14"/>
      <c r="I1" s="14"/>
      <c r="J1" s="14"/>
    </row>
    <row r="2" customFormat="false" ht="27" hidden="false" customHeight="true" outlineLevel="0" collapsed="false">
      <c r="A2" s="3" t="s">
        <v>38</v>
      </c>
      <c r="B2" s="3"/>
      <c r="C2" s="3"/>
      <c r="D2" s="3"/>
      <c r="E2" s="3"/>
      <c r="F2" s="3"/>
      <c r="G2" s="3"/>
      <c r="H2" s="3"/>
      <c r="I2" s="3"/>
      <c r="J2" s="3"/>
    </row>
    <row r="3" customFormat="false" ht="21.75" hidden="false" customHeight="true" outlineLevel="0" collapsed="false">
      <c r="A3" s="3" t="s">
        <v>445</v>
      </c>
      <c r="B3" s="3"/>
      <c r="C3" s="3"/>
      <c r="D3" s="3"/>
      <c r="E3" s="3"/>
      <c r="F3" s="3"/>
      <c r="G3" s="3"/>
      <c r="H3" s="3"/>
      <c r="I3" s="3"/>
      <c r="J3" s="3"/>
    </row>
    <row r="4" customFormat="false" ht="30" hidden="false" customHeight="true" outlineLevel="0" collapsed="false">
      <c r="A4" s="15" t="s">
        <v>40</v>
      </c>
      <c r="B4" s="15" t="s">
        <v>6</v>
      </c>
      <c r="C4" s="15" t="s">
        <v>41</v>
      </c>
      <c r="D4" s="15" t="s">
        <v>42</v>
      </c>
      <c r="E4" s="15" t="s">
        <v>43</v>
      </c>
      <c r="F4" s="15" t="s">
        <v>44</v>
      </c>
      <c r="G4" s="15" t="s">
        <v>45</v>
      </c>
      <c r="H4" s="15" t="s">
        <v>46</v>
      </c>
      <c r="I4" s="15" t="s">
        <v>47</v>
      </c>
      <c r="J4" s="15" t="s">
        <v>48</v>
      </c>
    </row>
    <row r="5" customFormat="false" ht="48" hidden="false" customHeight="true" outlineLevel="0" collapsed="false">
      <c r="A5" s="16" t="n">
        <v>37</v>
      </c>
      <c r="B5" s="17" t="n">
        <v>3</v>
      </c>
      <c r="C5" s="18" t="s">
        <v>196</v>
      </c>
      <c r="D5" s="19" t="s">
        <v>197</v>
      </c>
      <c r="E5" s="18" t="s">
        <v>24</v>
      </c>
      <c r="F5" s="18" t="s">
        <v>198</v>
      </c>
      <c r="G5" s="18" t="s">
        <v>85</v>
      </c>
      <c r="H5" s="18" t="str">
        <f aca="false">'Missing lines'!H41</f>
        <v>To record</v>
      </c>
      <c r="I5" s="18" t="s">
        <v>86</v>
      </c>
      <c r="J5" s="20" t="s">
        <v>199</v>
      </c>
    </row>
    <row r="6" customFormat="false" ht="48" hidden="false" customHeight="true" outlineLevel="0" collapsed="false">
      <c r="A6" s="16" t="n">
        <v>39</v>
      </c>
      <c r="B6" s="17" t="n">
        <v>3</v>
      </c>
      <c r="C6" s="18" t="s">
        <v>204</v>
      </c>
      <c r="D6" s="19" t="s">
        <v>205</v>
      </c>
      <c r="E6" s="18" t="s">
        <v>24</v>
      </c>
      <c r="F6" s="18" t="s">
        <v>206</v>
      </c>
      <c r="G6" s="18" t="s">
        <v>85</v>
      </c>
      <c r="H6" s="18" t="str">
        <f aca="false">'Missing lines'!H43</f>
        <v>To record</v>
      </c>
      <c r="I6" s="18" t="s">
        <v>86</v>
      </c>
      <c r="J6" s="20" t="s">
        <v>207</v>
      </c>
    </row>
    <row r="7" customFormat="false" ht="48" hidden="false" customHeight="true" outlineLevel="0" collapsed="false">
      <c r="A7" s="16" t="n">
        <v>48</v>
      </c>
      <c r="B7" s="17" t="n">
        <v>3</v>
      </c>
      <c r="C7" s="18" t="s">
        <v>241</v>
      </c>
      <c r="D7" s="19" t="s">
        <v>242</v>
      </c>
      <c r="E7" s="18" t="s">
        <v>24</v>
      </c>
      <c r="F7" s="18" t="s">
        <v>243</v>
      </c>
      <c r="G7" s="18" t="s">
        <v>85</v>
      </c>
      <c r="H7" s="18" t="str">
        <f aca="false">'Missing lines'!H52</f>
        <v>To record</v>
      </c>
      <c r="I7" s="18" t="s">
        <v>156</v>
      </c>
      <c r="J7" s="20" t="s">
        <v>244</v>
      </c>
    </row>
    <row r="8" customFormat="false" ht="48" hidden="false" customHeight="true" outlineLevel="0" collapsed="false">
      <c r="A8" s="16" t="n">
        <v>52</v>
      </c>
      <c r="B8" s="17" t="n">
        <v>3</v>
      </c>
      <c r="C8" s="18" t="s">
        <v>257</v>
      </c>
      <c r="D8" s="19" t="s">
        <v>258</v>
      </c>
      <c r="E8" s="18" t="s">
        <v>24</v>
      </c>
      <c r="F8" s="18" t="s">
        <v>259</v>
      </c>
      <c r="G8" s="18" t="s">
        <v>85</v>
      </c>
      <c r="H8" s="18" t="str">
        <f aca="false">'Missing lines'!H56</f>
        <v>To record</v>
      </c>
      <c r="I8" s="18" t="s">
        <v>156</v>
      </c>
      <c r="J8" s="20" t="s">
        <v>260</v>
      </c>
    </row>
    <row r="9" customFormat="false" ht="48" hidden="false" customHeight="true" outlineLevel="0" collapsed="false">
      <c r="A9" s="16" t="n">
        <v>54</v>
      </c>
      <c r="B9" s="17" t="n">
        <v>3</v>
      </c>
      <c r="C9" s="18" t="s">
        <v>265</v>
      </c>
      <c r="D9" s="19" t="s">
        <v>266</v>
      </c>
      <c r="E9" s="18" t="s">
        <v>24</v>
      </c>
      <c r="F9" s="18" t="s">
        <v>267</v>
      </c>
      <c r="G9" s="18" t="s">
        <v>85</v>
      </c>
      <c r="H9" s="18" t="str">
        <f aca="false">'Missing lines'!H58</f>
        <v>To record</v>
      </c>
      <c r="I9" s="18" t="s">
        <v>156</v>
      </c>
      <c r="J9" s="20" t="s">
        <v>268</v>
      </c>
    </row>
    <row r="10" customFormat="false" ht="48" hidden="false" customHeight="true" outlineLevel="0" collapsed="false">
      <c r="A10" s="16" t="n">
        <v>64</v>
      </c>
      <c r="B10" s="17" t="n">
        <v>4</v>
      </c>
      <c r="C10" s="18" t="s">
        <v>307</v>
      </c>
      <c r="D10" s="19" t="s">
        <v>308</v>
      </c>
      <c r="E10" s="18" t="s">
        <v>24</v>
      </c>
      <c r="F10" s="18" t="s">
        <v>309</v>
      </c>
      <c r="G10" s="18" t="s">
        <v>85</v>
      </c>
      <c r="H10" s="18" t="str">
        <f aca="false">'Missing lines'!H68</f>
        <v>To record</v>
      </c>
      <c r="I10" s="18" t="s">
        <v>86</v>
      </c>
      <c r="J10" s="20" t="s">
        <v>310</v>
      </c>
    </row>
    <row r="11" customFormat="false" ht="48" hidden="false" customHeight="true" outlineLevel="0" collapsed="false">
      <c r="A11" s="16" t="n">
        <v>65</v>
      </c>
      <c r="B11" s="17" t="n">
        <v>4</v>
      </c>
      <c r="C11" s="18" t="s">
        <v>307</v>
      </c>
      <c r="D11" s="19" t="s">
        <v>311</v>
      </c>
      <c r="E11" s="18" t="s">
        <v>24</v>
      </c>
      <c r="F11" s="18" t="s">
        <v>312</v>
      </c>
      <c r="G11" s="18" t="s">
        <v>85</v>
      </c>
      <c r="H11" s="18" t="str">
        <f aca="false">'Missing lines'!H69</f>
        <v>To record</v>
      </c>
      <c r="I11" s="18" t="s">
        <v>86</v>
      </c>
      <c r="J11" s="20" t="s">
        <v>313</v>
      </c>
    </row>
    <row r="12" customFormat="false" ht="48" hidden="false" customHeight="true" outlineLevel="0" collapsed="false">
      <c r="A12" s="16" t="n">
        <v>66</v>
      </c>
      <c r="B12" s="17" t="n">
        <v>4</v>
      </c>
      <c r="C12" s="18" t="s">
        <v>314</v>
      </c>
      <c r="D12" s="19" t="s">
        <v>315</v>
      </c>
      <c r="E12" s="18" t="s">
        <v>24</v>
      </c>
      <c r="F12" s="18" t="s">
        <v>316</v>
      </c>
      <c r="G12" s="18" t="s">
        <v>85</v>
      </c>
      <c r="H12" s="18" t="str">
        <f aca="false">'Missing lines'!H70</f>
        <v>To record</v>
      </c>
      <c r="I12" s="18" t="s">
        <v>86</v>
      </c>
      <c r="J12" s="20" t="s">
        <v>317</v>
      </c>
    </row>
    <row r="13" customFormat="false" ht="55.5" hidden="false" customHeight="true" outlineLevel="0" collapsed="false">
      <c r="A13" s="16" t="n">
        <v>67</v>
      </c>
      <c r="B13" s="17" t="n">
        <v>4</v>
      </c>
      <c r="C13" s="18" t="s">
        <v>318</v>
      </c>
      <c r="D13" s="19" t="s">
        <v>319</v>
      </c>
      <c r="E13" s="18" t="s">
        <v>24</v>
      </c>
      <c r="F13" s="18" t="s">
        <v>320</v>
      </c>
      <c r="G13" s="21" t="s">
        <v>85</v>
      </c>
      <c r="H13" s="21" t="str">
        <f aca="false">'Missing lines'!H71</f>
        <v>Needs speaker check</v>
      </c>
      <c r="I13" s="21" t="s">
        <v>322</v>
      </c>
      <c r="J13" s="20" t="s">
        <v>323</v>
      </c>
    </row>
    <row r="14" customFormat="false" ht="55.5" hidden="false" customHeight="true" outlineLevel="0" collapsed="false">
      <c r="A14" s="16" t="n">
        <v>68</v>
      </c>
      <c r="B14" s="17" t="n">
        <v>4</v>
      </c>
      <c r="C14" s="18" t="s">
        <v>324</v>
      </c>
      <c r="D14" s="19" t="s">
        <v>325</v>
      </c>
      <c r="E14" s="18" t="s">
        <v>24</v>
      </c>
      <c r="F14" s="18" t="s">
        <v>326</v>
      </c>
      <c r="G14" s="21" t="s">
        <v>85</v>
      </c>
      <c r="H14" s="21" t="str">
        <f aca="false">'Missing lines'!H72</f>
        <v>Needs speaker check</v>
      </c>
      <c r="I14" s="21" t="s">
        <v>322</v>
      </c>
      <c r="J14" s="20" t="s">
        <v>323</v>
      </c>
    </row>
    <row r="15" customFormat="false" ht="48" hidden="false" customHeight="true" outlineLevel="0" collapsed="false">
      <c r="A15" s="16" t="n">
        <v>69</v>
      </c>
      <c r="B15" s="17" t="n">
        <v>4</v>
      </c>
      <c r="C15" s="18" t="s">
        <v>327</v>
      </c>
      <c r="D15" s="19" t="s">
        <v>328</v>
      </c>
      <c r="E15" s="18" t="s">
        <v>24</v>
      </c>
      <c r="F15" s="18" t="s">
        <v>329</v>
      </c>
      <c r="G15" s="18" t="s">
        <v>85</v>
      </c>
      <c r="H15" s="18" t="str">
        <f aca="false">'Missing lines'!H73</f>
        <v>To record</v>
      </c>
      <c r="I15" s="18" t="s">
        <v>86</v>
      </c>
      <c r="J15" s="20" t="s">
        <v>330</v>
      </c>
    </row>
    <row r="16" customFormat="false" ht="48" hidden="false" customHeight="true" outlineLevel="0" collapsed="false">
      <c r="A16" s="16" t="n">
        <v>70</v>
      </c>
      <c r="B16" s="17" t="n">
        <v>4</v>
      </c>
      <c r="C16" s="18" t="s">
        <v>331</v>
      </c>
      <c r="D16" s="19" t="s">
        <v>332</v>
      </c>
      <c r="E16" s="18" t="s">
        <v>24</v>
      </c>
      <c r="F16" s="18" t="s">
        <v>333</v>
      </c>
      <c r="G16" s="18" t="s">
        <v>85</v>
      </c>
      <c r="H16" s="18" t="str">
        <f aca="false">'Missing lines'!H74</f>
        <v>To record</v>
      </c>
      <c r="I16" s="18" t="s">
        <v>86</v>
      </c>
      <c r="J16" s="20" t="s">
        <v>334</v>
      </c>
    </row>
    <row r="17" customFormat="false" ht="55.5" hidden="false" customHeight="true" outlineLevel="0" collapsed="false">
      <c r="A17" s="16" t="n">
        <v>71</v>
      </c>
      <c r="B17" s="17" t="n">
        <v>4</v>
      </c>
      <c r="C17" s="18" t="s">
        <v>335</v>
      </c>
      <c r="D17" s="19" t="s">
        <v>336</v>
      </c>
      <c r="E17" s="18" t="s">
        <v>24</v>
      </c>
      <c r="F17" s="18" t="s">
        <v>337</v>
      </c>
      <c r="G17" s="18" t="s">
        <v>85</v>
      </c>
      <c r="H17" s="18" t="str">
        <f aca="false">'Missing lines'!H75</f>
        <v>To record</v>
      </c>
      <c r="I17" s="18" t="s">
        <v>86</v>
      </c>
      <c r="J17" s="20" t="s">
        <v>338</v>
      </c>
    </row>
    <row r="18" customFormat="false" ht="48" hidden="false" customHeight="true" outlineLevel="0" collapsed="false">
      <c r="A18" s="16" t="n">
        <v>76</v>
      </c>
      <c r="B18" s="17" t="n">
        <v>4</v>
      </c>
      <c r="C18" s="18" t="s">
        <v>352</v>
      </c>
      <c r="D18" s="19" t="s">
        <v>353</v>
      </c>
      <c r="E18" s="18" t="s">
        <v>24</v>
      </c>
      <c r="F18" s="18" t="s">
        <v>354</v>
      </c>
      <c r="G18" s="18" t="s">
        <v>85</v>
      </c>
      <c r="H18" s="18" t="str">
        <f aca="false">'Missing lines'!H80</f>
        <v>To record</v>
      </c>
      <c r="I18" s="18" t="s">
        <v>86</v>
      </c>
      <c r="J18" s="20" t="s">
        <v>355</v>
      </c>
    </row>
  </sheetData>
  <mergeCells count="3">
    <mergeCell ref="A1:J1"/>
    <mergeCell ref="A2:J2"/>
    <mergeCell ref="A3:J3"/>
  </mergeCells>
  <conditionalFormatting sqref="G5:G18">
    <cfRule type="expression" priority="2" aboveAverage="0" equalAverage="0" bottom="0" percent="0" rank="0" text="" dxfId="7">
      <formula>G5="Not in voice manifest"</formula>
    </cfRule>
  </conditionalFormatting>
  <conditionalFormatting sqref="H5:H18">
    <cfRule type="expression" priority="3" aboveAverage="0" equalAverage="0" bottom="0" percent="0" rank="0" text="" dxfId="7">
      <formula>H5="Recorded"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68932"/>
    <pageSetUpPr fitToPage="false"/>
  </sheetPr>
  <dimension ref="A1:J11"/>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11"/>
    <col collapsed="false" customWidth="true" hidden="false" outlineLevel="0" max="3" min="3" style="1" width="36"/>
    <col collapsed="false" customWidth="true" hidden="false" outlineLevel="0" max="4" min="4" style="1" width="14"/>
    <col collapsed="false" customWidth="true" hidden="false" outlineLevel="0" max="5" min="5" style="1" width="23"/>
    <col collapsed="false" customWidth="true" hidden="false" outlineLevel="0" max="6" min="6" style="1" width="86"/>
    <col collapsed="false" customWidth="true" hidden="false" outlineLevel="0" max="7" min="7" style="1" width="27"/>
    <col collapsed="false" customWidth="true" hidden="false" outlineLevel="0" max="8" min="8" style="1" width="21"/>
    <col collapsed="false" customWidth="true" hidden="false" outlineLevel="0" max="9" min="9" style="1" width="74"/>
    <col collapsed="false" customWidth="true" hidden="false" outlineLevel="0" max="10" min="10" style="1" width="72"/>
  </cols>
  <sheetData>
    <row r="1" customFormat="false" ht="33.75" hidden="false" customHeight="true" outlineLevel="0" collapsed="false">
      <c r="A1" s="14" t="s">
        <v>454</v>
      </c>
      <c r="B1" s="14"/>
      <c r="C1" s="14"/>
      <c r="D1" s="14"/>
      <c r="E1" s="14"/>
      <c r="F1" s="14"/>
      <c r="G1" s="14"/>
      <c r="H1" s="14"/>
      <c r="I1" s="14"/>
      <c r="J1" s="14"/>
    </row>
    <row r="2" customFormat="false" ht="27" hidden="false" customHeight="true" outlineLevel="0" collapsed="false">
      <c r="A2" s="3" t="s">
        <v>357</v>
      </c>
      <c r="B2" s="3"/>
      <c r="C2" s="3"/>
      <c r="D2" s="3"/>
      <c r="E2" s="3"/>
      <c r="F2" s="3"/>
      <c r="G2" s="3"/>
      <c r="H2" s="3"/>
      <c r="I2" s="3"/>
      <c r="J2" s="3"/>
    </row>
    <row r="3" customFormat="false" ht="21.75" hidden="false" customHeight="true" outlineLevel="0" collapsed="false">
      <c r="A3" s="3" t="s">
        <v>445</v>
      </c>
      <c r="B3" s="3"/>
      <c r="C3" s="3"/>
      <c r="D3" s="3"/>
      <c r="E3" s="3"/>
      <c r="F3" s="3"/>
      <c r="G3" s="3"/>
      <c r="H3" s="3"/>
      <c r="I3" s="3"/>
      <c r="J3" s="3"/>
    </row>
    <row r="4" customFormat="false" ht="30" hidden="false" customHeight="true" outlineLevel="0" collapsed="false">
      <c r="A4" s="15" t="s">
        <v>40</v>
      </c>
      <c r="B4" s="15" t="s">
        <v>6</v>
      </c>
      <c r="C4" s="15" t="s">
        <v>41</v>
      </c>
      <c r="D4" s="15" t="s">
        <v>42</v>
      </c>
      <c r="E4" s="15" t="s">
        <v>43</v>
      </c>
      <c r="F4" s="15" t="s">
        <v>44</v>
      </c>
      <c r="G4" s="15" t="s">
        <v>45</v>
      </c>
      <c r="H4" s="15" t="s">
        <v>46</v>
      </c>
      <c r="I4" s="15" t="s">
        <v>47</v>
      </c>
      <c r="J4" s="15" t="s">
        <v>48</v>
      </c>
    </row>
    <row r="5" customFormat="false" ht="48" hidden="false" customHeight="true" outlineLevel="0" collapsed="false">
      <c r="A5" s="16" t="n">
        <v>6</v>
      </c>
      <c r="B5" s="17" t="n">
        <v>1</v>
      </c>
      <c r="C5" s="18" t="s">
        <v>379</v>
      </c>
      <c r="D5" s="19" t="s">
        <v>380</v>
      </c>
      <c r="E5" s="18" t="s">
        <v>25</v>
      </c>
      <c r="F5" s="18" t="s">
        <v>381</v>
      </c>
      <c r="G5" s="18" t="s">
        <v>361</v>
      </c>
      <c r="H5" s="18" t="str">
        <f aca="false">'Text-only review'!H10</f>
        <v>Review</v>
      </c>
      <c r="I5" s="18" t="s">
        <v>382</v>
      </c>
      <c r="J5" s="20" t="s">
        <v>383</v>
      </c>
    </row>
    <row r="6" customFormat="false" ht="48" hidden="false" customHeight="true" outlineLevel="0" collapsed="false">
      <c r="A6" s="16" t="n">
        <v>7</v>
      </c>
      <c r="B6" s="17" t="n">
        <v>1</v>
      </c>
      <c r="C6" s="18" t="s">
        <v>379</v>
      </c>
      <c r="D6" s="19" t="s">
        <v>384</v>
      </c>
      <c r="E6" s="18" t="s">
        <v>25</v>
      </c>
      <c r="F6" s="18" t="s">
        <v>385</v>
      </c>
      <c r="G6" s="18" t="s">
        <v>361</v>
      </c>
      <c r="H6" s="18" t="str">
        <f aca="false">'Text-only review'!H11</f>
        <v>Review</v>
      </c>
      <c r="I6" s="18" t="s">
        <v>386</v>
      </c>
      <c r="J6" s="20" t="s">
        <v>387</v>
      </c>
    </row>
    <row r="7" customFormat="false" ht="48" hidden="false" customHeight="true" outlineLevel="0" collapsed="false">
      <c r="A7" s="16" t="n">
        <v>8</v>
      </c>
      <c r="B7" s="17" t="n">
        <v>1</v>
      </c>
      <c r="C7" s="18" t="s">
        <v>379</v>
      </c>
      <c r="D7" s="19" t="s">
        <v>388</v>
      </c>
      <c r="E7" s="18" t="s">
        <v>25</v>
      </c>
      <c r="F7" s="18" t="s">
        <v>389</v>
      </c>
      <c r="G7" s="18" t="s">
        <v>361</v>
      </c>
      <c r="H7" s="18" t="str">
        <f aca="false">'Text-only review'!H12</f>
        <v>Review</v>
      </c>
      <c r="I7" s="18" t="s">
        <v>390</v>
      </c>
      <c r="J7" s="20" t="s">
        <v>391</v>
      </c>
    </row>
    <row r="8" customFormat="false" ht="48" hidden="false" customHeight="true" outlineLevel="0" collapsed="false">
      <c r="A8" s="16" t="n">
        <v>9</v>
      </c>
      <c r="B8" s="17" t="n">
        <v>1</v>
      </c>
      <c r="C8" s="18" t="s">
        <v>379</v>
      </c>
      <c r="D8" s="19" t="s">
        <v>392</v>
      </c>
      <c r="E8" s="18" t="s">
        <v>25</v>
      </c>
      <c r="F8" s="18" t="s">
        <v>393</v>
      </c>
      <c r="G8" s="18" t="s">
        <v>361</v>
      </c>
      <c r="H8" s="18" t="str">
        <f aca="false">'Text-only review'!H13</f>
        <v>Review</v>
      </c>
      <c r="I8" s="18" t="s">
        <v>394</v>
      </c>
      <c r="J8" s="20" t="s">
        <v>395</v>
      </c>
    </row>
    <row r="9" customFormat="false" ht="48" hidden="false" customHeight="true" outlineLevel="0" collapsed="false">
      <c r="A9" s="16" t="n">
        <v>10</v>
      </c>
      <c r="B9" s="17" t="n">
        <v>1</v>
      </c>
      <c r="C9" s="18" t="s">
        <v>379</v>
      </c>
      <c r="D9" s="19" t="s">
        <v>396</v>
      </c>
      <c r="E9" s="18" t="s">
        <v>25</v>
      </c>
      <c r="F9" s="18" t="s">
        <v>397</v>
      </c>
      <c r="G9" s="18" t="s">
        <v>361</v>
      </c>
      <c r="H9" s="18" t="str">
        <f aca="false">'Text-only review'!H14</f>
        <v>Review</v>
      </c>
      <c r="I9" s="18" t="s">
        <v>398</v>
      </c>
      <c r="J9" s="20" t="s">
        <v>399</v>
      </c>
    </row>
    <row r="10" customFormat="false" ht="48" hidden="false" customHeight="true" outlineLevel="0" collapsed="false">
      <c r="A10" s="16" t="n">
        <v>11</v>
      </c>
      <c r="B10" s="17" t="n">
        <v>1</v>
      </c>
      <c r="C10" s="18" t="s">
        <v>379</v>
      </c>
      <c r="D10" s="19" t="s">
        <v>400</v>
      </c>
      <c r="E10" s="18" t="s">
        <v>25</v>
      </c>
      <c r="F10" s="18" t="s">
        <v>401</v>
      </c>
      <c r="G10" s="18" t="s">
        <v>361</v>
      </c>
      <c r="H10" s="18" t="str">
        <f aca="false">'Text-only review'!H15</f>
        <v>Review</v>
      </c>
      <c r="I10" s="18" t="s">
        <v>402</v>
      </c>
      <c r="J10" s="20" t="s">
        <v>403</v>
      </c>
    </row>
    <row r="11" customFormat="false" ht="48" hidden="false" customHeight="true" outlineLevel="0" collapsed="false">
      <c r="A11" s="16" t="n">
        <v>12</v>
      </c>
      <c r="B11" s="17" t="n">
        <v>1</v>
      </c>
      <c r="C11" s="18" t="s">
        <v>379</v>
      </c>
      <c r="D11" s="19" t="s">
        <v>404</v>
      </c>
      <c r="E11" s="18" t="s">
        <v>25</v>
      </c>
      <c r="F11" s="18" t="s">
        <v>405</v>
      </c>
      <c r="G11" s="18" t="s">
        <v>361</v>
      </c>
      <c r="H11" s="18" t="str">
        <f aca="false">'Text-only review'!H16</f>
        <v>Review</v>
      </c>
      <c r="I11" s="18" t="s">
        <v>406</v>
      </c>
      <c r="J11" s="20" t="s">
        <v>407</v>
      </c>
    </row>
  </sheetData>
  <mergeCells count="3">
    <mergeCell ref="A1:J1"/>
    <mergeCell ref="A2:J2"/>
    <mergeCell ref="A3:J3"/>
  </mergeCells>
  <conditionalFormatting sqref="G5:G11">
    <cfRule type="expression" priority="2" aboveAverage="0" equalAverage="0" bottom="0" percent="0" rank="0" text="" dxfId="7">
      <formula>G5="Not in voice manifest"</formula>
    </cfRule>
  </conditionalFormatting>
  <conditionalFormatting sqref="H5:H11">
    <cfRule type="expression" priority="3" aboveAverage="0" equalAverage="0" bottom="0" percent="0" rank="0" text="" dxfId="7">
      <formula>H5="Recorded"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68932"/>
    <pageSetUpPr fitToPage="false"/>
  </sheetPr>
  <dimension ref="A1:J7"/>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11"/>
    <col collapsed="false" customWidth="true" hidden="false" outlineLevel="0" max="3" min="3" style="1" width="36"/>
    <col collapsed="false" customWidth="true" hidden="false" outlineLevel="0" max="4" min="4" style="1" width="14"/>
    <col collapsed="false" customWidth="true" hidden="false" outlineLevel="0" max="5" min="5" style="1" width="23"/>
    <col collapsed="false" customWidth="true" hidden="false" outlineLevel="0" max="6" min="6" style="1" width="86"/>
    <col collapsed="false" customWidth="true" hidden="false" outlineLevel="0" max="7" min="7" style="1" width="27"/>
    <col collapsed="false" customWidth="true" hidden="false" outlineLevel="0" max="8" min="8" style="1" width="21"/>
    <col collapsed="false" customWidth="true" hidden="false" outlineLevel="0" max="9" min="9" style="1" width="74"/>
    <col collapsed="false" customWidth="true" hidden="false" outlineLevel="0" max="10" min="10" style="1" width="72"/>
  </cols>
  <sheetData>
    <row r="1" customFormat="false" ht="33.75" hidden="false" customHeight="true" outlineLevel="0" collapsed="false">
      <c r="A1" s="14" t="s">
        <v>455</v>
      </c>
      <c r="B1" s="14"/>
      <c r="C1" s="14"/>
      <c r="D1" s="14"/>
      <c r="E1" s="14"/>
      <c r="F1" s="14"/>
      <c r="G1" s="14"/>
      <c r="H1" s="14"/>
      <c r="I1" s="14"/>
      <c r="J1" s="14"/>
    </row>
    <row r="2" customFormat="false" ht="27" hidden="false" customHeight="true" outlineLevel="0" collapsed="false">
      <c r="A2" s="3" t="s">
        <v>357</v>
      </c>
      <c r="B2" s="3"/>
      <c r="C2" s="3"/>
      <c r="D2" s="3"/>
      <c r="E2" s="3"/>
      <c r="F2" s="3"/>
      <c r="G2" s="3"/>
      <c r="H2" s="3"/>
      <c r="I2" s="3"/>
      <c r="J2" s="3"/>
    </row>
    <row r="3" customFormat="false" ht="21.75" hidden="false" customHeight="true" outlineLevel="0" collapsed="false">
      <c r="A3" s="3" t="s">
        <v>445</v>
      </c>
      <c r="B3" s="3"/>
      <c r="C3" s="3"/>
      <c r="D3" s="3"/>
      <c r="E3" s="3"/>
      <c r="F3" s="3"/>
      <c r="G3" s="3"/>
      <c r="H3" s="3"/>
      <c r="I3" s="3"/>
      <c r="J3" s="3"/>
    </row>
    <row r="4" customFormat="false" ht="30" hidden="false" customHeight="true" outlineLevel="0" collapsed="false">
      <c r="A4" s="15" t="s">
        <v>40</v>
      </c>
      <c r="B4" s="15" t="s">
        <v>6</v>
      </c>
      <c r="C4" s="15" t="s">
        <v>41</v>
      </c>
      <c r="D4" s="15" t="s">
        <v>42</v>
      </c>
      <c r="E4" s="15" t="s">
        <v>43</v>
      </c>
      <c r="F4" s="15" t="s">
        <v>44</v>
      </c>
      <c r="G4" s="15" t="s">
        <v>45</v>
      </c>
      <c r="H4" s="15" t="s">
        <v>46</v>
      </c>
      <c r="I4" s="15" t="s">
        <v>47</v>
      </c>
      <c r="J4" s="15" t="s">
        <v>48</v>
      </c>
    </row>
    <row r="5" customFormat="false" ht="55.5" hidden="false" customHeight="true" outlineLevel="0" collapsed="false">
      <c r="A5" s="16" t="n">
        <v>3</v>
      </c>
      <c r="B5" s="17" t="n">
        <v>1</v>
      </c>
      <c r="C5" s="18" t="s">
        <v>358</v>
      </c>
      <c r="D5" s="19" t="s">
        <v>369</v>
      </c>
      <c r="E5" s="18" t="s">
        <v>26</v>
      </c>
      <c r="F5" s="18" t="s">
        <v>370</v>
      </c>
      <c r="G5" s="18" t="s">
        <v>361</v>
      </c>
      <c r="H5" s="18" t="str">
        <f aca="false">'Text-only review'!H7</f>
        <v>Review</v>
      </c>
      <c r="I5" s="18" t="s">
        <v>363</v>
      </c>
      <c r="J5" s="20" t="s">
        <v>371</v>
      </c>
    </row>
    <row r="6" customFormat="false" ht="72" hidden="false" customHeight="true" outlineLevel="0" collapsed="false">
      <c r="A6" s="16" t="n">
        <v>4</v>
      </c>
      <c r="B6" s="17" t="n">
        <v>1</v>
      </c>
      <c r="C6" s="18" t="s">
        <v>372</v>
      </c>
      <c r="D6" s="19" t="s">
        <v>373</v>
      </c>
      <c r="E6" s="18" t="s">
        <v>26</v>
      </c>
      <c r="F6" s="18" t="s">
        <v>374</v>
      </c>
      <c r="G6" s="18" t="s">
        <v>361</v>
      </c>
      <c r="H6" s="18" t="str">
        <f aca="false">'Text-only review'!H8</f>
        <v>Review</v>
      </c>
      <c r="I6" s="18" t="s">
        <v>363</v>
      </c>
      <c r="J6" s="20" t="s">
        <v>375</v>
      </c>
    </row>
    <row r="7" customFormat="false" ht="55.5" hidden="false" customHeight="true" outlineLevel="0" collapsed="false">
      <c r="A7" s="16" t="n">
        <v>5</v>
      </c>
      <c r="B7" s="17" t="n">
        <v>1</v>
      </c>
      <c r="C7" s="18" t="s">
        <v>365</v>
      </c>
      <c r="D7" s="19" t="s">
        <v>376</v>
      </c>
      <c r="E7" s="18" t="s">
        <v>26</v>
      </c>
      <c r="F7" s="18" t="s">
        <v>377</v>
      </c>
      <c r="G7" s="18" t="s">
        <v>361</v>
      </c>
      <c r="H7" s="18" t="str">
        <f aca="false">'Text-only review'!H9</f>
        <v>Review</v>
      </c>
      <c r="I7" s="18" t="s">
        <v>363</v>
      </c>
      <c r="J7" s="20" t="s">
        <v>378</v>
      </c>
    </row>
  </sheetData>
  <mergeCells count="3">
    <mergeCell ref="A1:J1"/>
    <mergeCell ref="A2:J2"/>
    <mergeCell ref="A3:J3"/>
  </mergeCells>
  <conditionalFormatting sqref="G5:G7">
    <cfRule type="expression" priority="2" aboveAverage="0" equalAverage="0" bottom="0" percent="0" rank="0" text="" dxfId="7">
      <formula>G5="Not in voice manifest"</formula>
    </cfRule>
  </conditionalFormatting>
  <conditionalFormatting sqref="H5:H7">
    <cfRule type="expression" priority="3" aboveAverage="0" equalAverage="0" bottom="0" percent="0" rank="0" text="" dxfId="7">
      <formula>H5="Recorded"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7D92"/>
    <pageSetUpPr fitToPage="false"/>
  </sheetPr>
  <dimension ref="A1:J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11"/>
    <col collapsed="false" customWidth="true" hidden="false" outlineLevel="0" max="3" min="3" style="1" width="36"/>
    <col collapsed="false" customWidth="true" hidden="false" outlineLevel="0" max="4" min="4" style="1" width="14"/>
    <col collapsed="false" customWidth="true" hidden="false" outlineLevel="0" max="5" min="5" style="1" width="23"/>
    <col collapsed="false" customWidth="true" hidden="false" outlineLevel="0" max="6" min="6" style="1" width="86"/>
    <col collapsed="false" customWidth="true" hidden="false" outlineLevel="0" max="7" min="7" style="1" width="27"/>
    <col collapsed="false" customWidth="true" hidden="false" outlineLevel="0" max="8" min="8" style="1" width="21"/>
    <col collapsed="false" customWidth="true" hidden="false" outlineLevel="0" max="9" min="9" style="1" width="74"/>
    <col collapsed="false" customWidth="true" hidden="false" outlineLevel="0" max="10" min="10" style="1" width="72"/>
  </cols>
  <sheetData>
    <row r="1" customFormat="false" ht="33.75" hidden="false" customHeight="true" outlineLevel="0" collapsed="false">
      <c r="A1" s="14" t="s">
        <v>456</v>
      </c>
      <c r="B1" s="14"/>
      <c r="C1" s="14"/>
      <c r="D1" s="14"/>
      <c r="E1" s="14"/>
      <c r="F1" s="14"/>
      <c r="G1" s="14"/>
      <c r="H1" s="14"/>
      <c r="I1" s="14"/>
      <c r="J1" s="14"/>
    </row>
    <row r="2" customFormat="false" ht="27" hidden="false" customHeight="true" outlineLevel="0" collapsed="false">
      <c r="A2" s="3" t="s">
        <v>38</v>
      </c>
      <c r="B2" s="3"/>
      <c r="C2" s="3"/>
      <c r="D2" s="3"/>
      <c r="E2" s="3"/>
      <c r="F2" s="3"/>
      <c r="G2" s="3"/>
      <c r="H2" s="3"/>
      <c r="I2" s="3"/>
      <c r="J2" s="3"/>
    </row>
    <row r="3" customFormat="false" ht="21.75" hidden="false" customHeight="true" outlineLevel="0" collapsed="false">
      <c r="A3" s="3" t="s">
        <v>445</v>
      </c>
      <c r="B3" s="3"/>
      <c r="C3" s="3"/>
      <c r="D3" s="3"/>
      <c r="E3" s="3"/>
      <c r="F3" s="3"/>
      <c r="G3" s="3"/>
      <c r="H3" s="3"/>
      <c r="I3" s="3"/>
      <c r="J3" s="3"/>
    </row>
    <row r="4" customFormat="false" ht="30" hidden="false" customHeight="true" outlineLevel="0" collapsed="false">
      <c r="A4" s="15" t="s">
        <v>40</v>
      </c>
      <c r="B4" s="15" t="s">
        <v>6</v>
      </c>
      <c r="C4" s="15" t="s">
        <v>41</v>
      </c>
      <c r="D4" s="15" t="s">
        <v>42</v>
      </c>
      <c r="E4" s="15" t="s">
        <v>43</v>
      </c>
      <c r="F4" s="15" t="s">
        <v>44</v>
      </c>
      <c r="G4" s="15" t="s">
        <v>45</v>
      </c>
      <c r="H4" s="15" t="s">
        <v>46</v>
      </c>
      <c r="I4" s="15" t="s">
        <v>47</v>
      </c>
      <c r="J4" s="15" t="s">
        <v>48</v>
      </c>
    </row>
    <row r="5" customFormat="false" ht="48" hidden="false" customHeight="true" outlineLevel="0" collapsed="false">
      <c r="A5" s="16" t="n">
        <v>24</v>
      </c>
      <c r="B5" s="17" t="n">
        <v>3</v>
      </c>
      <c r="C5" s="18" t="s">
        <v>144</v>
      </c>
      <c r="D5" s="19" t="s">
        <v>145</v>
      </c>
      <c r="E5" s="18" t="s">
        <v>27</v>
      </c>
      <c r="F5" s="18" t="s">
        <v>146</v>
      </c>
      <c r="G5" s="18" t="s">
        <v>85</v>
      </c>
      <c r="H5" s="18" t="str">
        <f aca="false">'Missing lines'!H28</f>
        <v>To record</v>
      </c>
      <c r="I5" s="18" t="s">
        <v>147</v>
      </c>
      <c r="J5" s="20" t="s">
        <v>148</v>
      </c>
    </row>
  </sheetData>
  <mergeCells count="3">
    <mergeCell ref="A1:J1"/>
    <mergeCell ref="A2:J2"/>
    <mergeCell ref="A3:J3"/>
  </mergeCells>
  <conditionalFormatting sqref="G5">
    <cfRule type="expression" priority="2" aboveAverage="0" equalAverage="0" bottom="0" percent="0" rank="0" text="" dxfId="7">
      <formula>G5="Not in voice manifest"</formula>
    </cfRule>
  </conditionalFormatting>
  <conditionalFormatting sqref="H5">
    <cfRule type="expression" priority="3" aboveAverage="0" equalAverage="0" bottom="0" percent="0" rank="0" text="" dxfId="7">
      <formula>H5="Recorded"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7D92"/>
    <pageSetUpPr fitToPage="false"/>
  </sheetPr>
  <dimension ref="A1:J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11"/>
    <col collapsed="false" customWidth="true" hidden="false" outlineLevel="0" max="3" min="3" style="1" width="36"/>
    <col collapsed="false" customWidth="true" hidden="false" outlineLevel="0" max="4" min="4" style="1" width="14"/>
    <col collapsed="false" customWidth="true" hidden="false" outlineLevel="0" max="5" min="5" style="1" width="23"/>
    <col collapsed="false" customWidth="true" hidden="false" outlineLevel="0" max="6" min="6" style="1" width="86"/>
    <col collapsed="false" customWidth="true" hidden="false" outlineLevel="0" max="7" min="7" style="1" width="27"/>
    <col collapsed="false" customWidth="true" hidden="false" outlineLevel="0" max="8" min="8" style="1" width="21"/>
    <col collapsed="false" customWidth="true" hidden="false" outlineLevel="0" max="9" min="9" style="1" width="74"/>
    <col collapsed="false" customWidth="true" hidden="false" outlineLevel="0" max="10" min="10" style="1" width="72"/>
  </cols>
  <sheetData>
    <row r="1" customFormat="false" ht="33.75" hidden="false" customHeight="true" outlineLevel="0" collapsed="false">
      <c r="A1" s="14" t="s">
        <v>457</v>
      </c>
      <c r="B1" s="14"/>
      <c r="C1" s="14"/>
      <c r="D1" s="14"/>
      <c r="E1" s="14"/>
      <c r="F1" s="14"/>
      <c r="G1" s="14"/>
      <c r="H1" s="14"/>
      <c r="I1" s="14"/>
      <c r="J1" s="14"/>
    </row>
    <row r="2" customFormat="false" ht="27" hidden="false" customHeight="true" outlineLevel="0" collapsed="false">
      <c r="A2" s="3" t="s">
        <v>38</v>
      </c>
      <c r="B2" s="3"/>
      <c r="C2" s="3"/>
      <c r="D2" s="3"/>
      <c r="E2" s="3"/>
      <c r="F2" s="3"/>
      <c r="G2" s="3"/>
      <c r="H2" s="3"/>
      <c r="I2" s="3"/>
      <c r="J2" s="3"/>
    </row>
    <row r="3" customFormat="false" ht="21.75" hidden="false" customHeight="true" outlineLevel="0" collapsed="false">
      <c r="A3" s="3" t="s">
        <v>445</v>
      </c>
      <c r="B3" s="3"/>
      <c r="C3" s="3"/>
      <c r="D3" s="3"/>
      <c r="E3" s="3"/>
      <c r="F3" s="3"/>
      <c r="G3" s="3"/>
      <c r="H3" s="3"/>
      <c r="I3" s="3"/>
      <c r="J3" s="3"/>
    </row>
    <row r="4" customFormat="false" ht="30" hidden="false" customHeight="true" outlineLevel="0" collapsed="false">
      <c r="A4" s="15" t="s">
        <v>40</v>
      </c>
      <c r="B4" s="15" t="s">
        <v>6</v>
      </c>
      <c r="C4" s="15" t="s">
        <v>41</v>
      </c>
      <c r="D4" s="15" t="s">
        <v>42</v>
      </c>
      <c r="E4" s="15" t="s">
        <v>43</v>
      </c>
      <c r="F4" s="15" t="s">
        <v>44</v>
      </c>
      <c r="G4" s="15" t="s">
        <v>45</v>
      </c>
      <c r="H4" s="15" t="s">
        <v>46</v>
      </c>
      <c r="I4" s="15" t="s">
        <v>47</v>
      </c>
      <c r="J4" s="15" t="s">
        <v>48</v>
      </c>
    </row>
    <row r="5" customFormat="false" ht="48" hidden="false" customHeight="true" outlineLevel="0" collapsed="false">
      <c r="A5" s="16" t="n">
        <v>9</v>
      </c>
      <c r="B5" s="17" t="n">
        <v>2</v>
      </c>
      <c r="C5" s="18" t="s">
        <v>82</v>
      </c>
      <c r="D5" s="19" t="s">
        <v>83</v>
      </c>
      <c r="E5" s="18" t="s">
        <v>28</v>
      </c>
      <c r="F5" s="18" t="s">
        <v>84</v>
      </c>
      <c r="G5" s="18" t="s">
        <v>85</v>
      </c>
      <c r="H5" s="18" t="str">
        <f aca="false">'Missing lines'!H13</f>
        <v>To record</v>
      </c>
      <c r="I5" s="18" t="s">
        <v>86</v>
      </c>
      <c r="J5" s="20" t="s">
        <v>87</v>
      </c>
    </row>
  </sheetData>
  <mergeCells count="3">
    <mergeCell ref="A1:J1"/>
    <mergeCell ref="A2:J2"/>
    <mergeCell ref="A3:J3"/>
  </mergeCells>
  <conditionalFormatting sqref="G5">
    <cfRule type="expression" priority="2" aboveAverage="0" equalAverage="0" bottom="0" percent="0" rank="0" text="" dxfId="7">
      <formula>G5="Not in voice manifest"</formula>
    </cfRule>
  </conditionalFormatting>
  <conditionalFormatting sqref="H5">
    <cfRule type="expression" priority="3" aboveAverage="0" equalAverage="0" bottom="0" percent="0" rank="0" text="" dxfId="7">
      <formula>H5="Recorded"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7D92"/>
    <pageSetUpPr fitToPage="false"/>
  </sheetPr>
  <dimension ref="A1:J7"/>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11"/>
    <col collapsed="false" customWidth="true" hidden="false" outlineLevel="0" max="3" min="3" style="1" width="36"/>
    <col collapsed="false" customWidth="true" hidden="false" outlineLevel="0" max="4" min="4" style="1" width="14"/>
    <col collapsed="false" customWidth="true" hidden="false" outlineLevel="0" max="5" min="5" style="1" width="23"/>
    <col collapsed="false" customWidth="true" hidden="false" outlineLevel="0" max="6" min="6" style="1" width="86"/>
    <col collapsed="false" customWidth="true" hidden="false" outlineLevel="0" max="7" min="7" style="1" width="27"/>
    <col collapsed="false" customWidth="true" hidden="false" outlineLevel="0" max="8" min="8" style="1" width="21"/>
    <col collapsed="false" customWidth="true" hidden="false" outlineLevel="0" max="9" min="9" style="1" width="74"/>
    <col collapsed="false" customWidth="true" hidden="false" outlineLevel="0" max="10" min="10" style="1" width="72"/>
  </cols>
  <sheetData>
    <row r="1" customFormat="false" ht="33.75" hidden="false" customHeight="true" outlineLevel="0" collapsed="false">
      <c r="A1" s="14" t="s">
        <v>458</v>
      </c>
      <c r="B1" s="14"/>
      <c r="C1" s="14"/>
      <c r="D1" s="14"/>
      <c r="E1" s="14"/>
      <c r="F1" s="14"/>
      <c r="G1" s="14"/>
      <c r="H1" s="14"/>
      <c r="I1" s="14"/>
      <c r="J1" s="14"/>
    </row>
    <row r="2" customFormat="false" ht="27" hidden="false" customHeight="true" outlineLevel="0" collapsed="false">
      <c r="A2" s="3" t="s">
        <v>38</v>
      </c>
      <c r="B2" s="3"/>
      <c r="C2" s="3"/>
      <c r="D2" s="3"/>
      <c r="E2" s="3"/>
      <c r="F2" s="3"/>
      <c r="G2" s="3"/>
      <c r="H2" s="3"/>
      <c r="I2" s="3"/>
      <c r="J2" s="3"/>
    </row>
    <row r="3" customFormat="false" ht="21.75" hidden="false" customHeight="true" outlineLevel="0" collapsed="false">
      <c r="A3" s="3" t="s">
        <v>445</v>
      </c>
      <c r="B3" s="3"/>
      <c r="C3" s="3"/>
      <c r="D3" s="3"/>
      <c r="E3" s="3"/>
      <c r="F3" s="3"/>
      <c r="G3" s="3"/>
      <c r="H3" s="3"/>
      <c r="I3" s="3"/>
      <c r="J3" s="3"/>
    </row>
    <row r="4" customFormat="false" ht="30" hidden="false" customHeight="true" outlineLevel="0" collapsed="false">
      <c r="A4" s="15" t="s">
        <v>40</v>
      </c>
      <c r="B4" s="15" t="s">
        <v>6</v>
      </c>
      <c r="C4" s="15" t="s">
        <v>41</v>
      </c>
      <c r="D4" s="15" t="s">
        <v>42</v>
      </c>
      <c r="E4" s="15" t="s">
        <v>43</v>
      </c>
      <c r="F4" s="15" t="s">
        <v>44</v>
      </c>
      <c r="G4" s="15" t="s">
        <v>45</v>
      </c>
      <c r="H4" s="15" t="s">
        <v>46</v>
      </c>
      <c r="I4" s="15" t="s">
        <v>47</v>
      </c>
      <c r="J4" s="15" t="s">
        <v>48</v>
      </c>
    </row>
    <row r="5" customFormat="false" ht="55.5" hidden="false" customHeight="true" outlineLevel="0" collapsed="false">
      <c r="A5" s="16" t="n">
        <v>63</v>
      </c>
      <c r="B5" s="17" t="n">
        <v>4</v>
      </c>
      <c r="C5" s="18" t="s">
        <v>294</v>
      </c>
      <c r="D5" s="19" t="s">
        <v>303</v>
      </c>
      <c r="E5" s="18" t="s">
        <v>29</v>
      </c>
      <c r="F5" s="18" t="s">
        <v>304</v>
      </c>
      <c r="G5" s="18" t="s">
        <v>52</v>
      </c>
      <c r="H5" s="18" t="str">
        <f aca="false">'Missing lines'!H67</f>
        <v>To record</v>
      </c>
      <c r="I5" s="18" t="s">
        <v>305</v>
      </c>
      <c r="J5" s="20" t="s">
        <v>306</v>
      </c>
    </row>
    <row r="6" customFormat="false" ht="55.5" hidden="false" customHeight="true" outlineLevel="0" collapsed="false">
      <c r="A6" s="16" t="n">
        <v>72</v>
      </c>
      <c r="B6" s="17" t="n">
        <v>4</v>
      </c>
      <c r="C6" s="18" t="s">
        <v>339</v>
      </c>
      <c r="D6" s="19" t="s">
        <v>340</v>
      </c>
      <c r="E6" s="18" t="s">
        <v>29</v>
      </c>
      <c r="F6" s="18" t="s">
        <v>341</v>
      </c>
      <c r="G6" s="18" t="s">
        <v>52</v>
      </c>
      <c r="H6" s="18" t="str">
        <f aca="false">'Missing lines'!H76</f>
        <v>To record</v>
      </c>
      <c r="I6" s="18" t="s">
        <v>305</v>
      </c>
      <c r="J6" s="20" t="s">
        <v>342</v>
      </c>
    </row>
    <row r="7" customFormat="false" ht="55.5" hidden="false" customHeight="true" outlineLevel="0" collapsed="false">
      <c r="A7" s="16" t="n">
        <v>73</v>
      </c>
      <c r="B7" s="17" t="n">
        <v>4</v>
      </c>
      <c r="C7" s="18" t="s">
        <v>339</v>
      </c>
      <c r="D7" s="19" t="s">
        <v>343</v>
      </c>
      <c r="E7" s="18" t="s">
        <v>29</v>
      </c>
      <c r="F7" s="18" t="s">
        <v>344</v>
      </c>
      <c r="G7" s="18" t="s">
        <v>52</v>
      </c>
      <c r="H7" s="18" t="str">
        <f aca="false">'Missing lines'!H77</f>
        <v>To record</v>
      </c>
      <c r="I7" s="18" t="s">
        <v>305</v>
      </c>
      <c r="J7" s="20" t="s">
        <v>345</v>
      </c>
    </row>
  </sheetData>
  <mergeCells count="3">
    <mergeCell ref="A1:J1"/>
    <mergeCell ref="A2:J2"/>
    <mergeCell ref="A3:J3"/>
  </mergeCells>
  <conditionalFormatting sqref="G5:G7">
    <cfRule type="expression" priority="2" aboveAverage="0" equalAverage="0" bottom="0" percent="0" rank="0" text="" dxfId="7">
      <formula>G5="Not in voice manifest"</formula>
    </cfRule>
  </conditionalFormatting>
  <conditionalFormatting sqref="H5:H7">
    <cfRule type="expression" priority="3" aboveAverage="0" equalAverage="0" bottom="0" percent="0" rank="0" text="" dxfId="7">
      <formula>H5="Recorded"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7D92"/>
    <pageSetUpPr fitToPage="false"/>
  </sheetPr>
  <dimension ref="A1:J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11"/>
    <col collapsed="false" customWidth="true" hidden="false" outlineLevel="0" max="3" min="3" style="1" width="36"/>
    <col collapsed="false" customWidth="true" hidden="false" outlineLevel="0" max="4" min="4" style="1" width="14"/>
    <col collapsed="false" customWidth="true" hidden="false" outlineLevel="0" max="5" min="5" style="1" width="23"/>
    <col collapsed="false" customWidth="true" hidden="false" outlineLevel="0" max="6" min="6" style="1" width="86"/>
    <col collapsed="false" customWidth="true" hidden="false" outlineLevel="0" max="7" min="7" style="1" width="27"/>
    <col collapsed="false" customWidth="true" hidden="false" outlineLevel="0" max="8" min="8" style="1" width="21"/>
    <col collapsed="false" customWidth="true" hidden="false" outlineLevel="0" max="9" min="9" style="1" width="74"/>
    <col collapsed="false" customWidth="true" hidden="false" outlineLevel="0" max="10" min="10" style="1" width="72"/>
  </cols>
  <sheetData>
    <row r="1" customFormat="false" ht="33.75" hidden="false" customHeight="true" outlineLevel="0" collapsed="false">
      <c r="A1" s="14" t="s">
        <v>459</v>
      </c>
      <c r="B1" s="14"/>
      <c r="C1" s="14"/>
      <c r="D1" s="14"/>
      <c r="E1" s="14"/>
      <c r="F1" s="14"/>
      <c r="G1" s="14"/>
      <c r="H1" s="14"/>
      <c r="I1" s="14"/>
      <c r="J1" s="14"/>
    </row>
    <row r="2" customFormat="false" ht="27" hidden="false" customHeight="true" outlineLevel="0" collapsed="false">
      <c r="A2" s="3" t="s">
        <v>38</v>
      </c>
      <c r="B2" s="3"/>
      <c r="C2" s="3"/>
      <c r="D2" s="3"/>
      <c r="E2" s="3"/>
      <c r="F2" s="3"/>
      <c r="G2" s="3"/>
      <c r="H2" s="3"/>
      <c r="I2" s="3"/>
      <c r="J2" s="3"/>
    </row>
    <row r="3" customFormat="false" ht="21.75" hidden="false" customHeight="true" outlineLevel="0" collapsed="false">
      <c r="A3" s="3" t="s">
        <v>445</v>
      </c>
      <c r="B3" s="3"/>
      <c r="C3" s="3"/>
      <c r="D3" s="3"/>
      <c r="E3" s="3"/>
      <c r="F3" s="3"/>
      <c r="G3" s="3"/>
      <c r="H3" s="3"/>
      <c r="I3" s="3"/>
      <c r="J3" s="3"/>
    </row>
    <row r="4" customFormat="false" ht="30" hidden="false" customHeight="true" outlineLevel="0" collapsed="false">
      <c r="A4" s="15" t="s">
        <v>40</v>
      </c>
      <c r="B4" s="15" t="s">
        <v>6</v>
      </c>
      <c r="C4" s="15" t="s">
        <v>41</v>
      </c>
      <c r="D4" s="15" t="s">
        <v>42</v>
      </c>
      <c r="E4" s="15" t="s">
        <v>43</v>
      </c>
      <c r="F4" s="15" t="s">
        <v>44</v>
      </c>
      <c r="G4" s="15" t="s">
        <v>45</v>
      </c>
      <c r="H4" s="15" t="s">
        <v>46</v>
      </c>
      <c r="I4" s="15" t="s">
        <v>47</v>
      </c>
      <c r="J4" s="15" t="s">
        <v>48</v>
      </c>
    </row>
    <row r="5" customFormat="false" ht="55.5" hidden="false" customHeight="true" outlineLevel="0" collapsed="false">
      <c r="A5" s="16" t="n">
        <v>8</v>
      </c>
      <c r="B5" s="17" t="n">
        <v>2</v>
      </c>
      <c r="C5" s="18" t="s">
        <v>78</v>
      </c>
      <c r="D5" s="19" t="s">
        <v>79</v>
      </c>
      <c r="E5" s="18" t="s">
        <v>30</v>
      </c>
      <c r="F5" s="18" t="s">
        <v>80</v>
      </c>
      <c r="G5" s="18" t="s">
        <v>52</v>
      </c>
      <c r="H5" s="18" t="str">
        <f aca="false">'Missing lines'!H12</f>
        <v>To record</v>
      </c>
      <c r="I5" s="18" t="s">
        <v>65</v>
      </c>
      <c r="J5" s="20" t="s">
        <v>81</v>
      </c>
    </row>
  </sheetData>
  <mergeCells count="3">
    <mergeCell ref="A1:J1"/>
    <mergeCell ref="A2:J2"/>
    <mergeCell ref="A3:J3"/>
  </mergeCells>
  <conditionalFormatting sqref="G5">
    <cfRule type="expression" priority="2" aboveAverage="0" equalAverage="0" bottom="0" percent="0" rank="0" text="" dxfId="7">
      <formula>G5="Not in voice manifest"</formula>
    </cfRule>
  </conditionalFormatting>
  <conditionalFormatting sqref="H5">
    <cfRule type="expression" priority="3" aboveAverage="0" equalAverage="0" bottom="0" percent="0" rank="0" text="" dxfId="7">
      <formula>H5="Recorded"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68932"/>
    <pageSetUpPr fitToPage="false"/>
  </sheetPr>
  <dimension ref="A1:J1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11"/>
    <col collapsed="false" customWidth="true" hidden="false" outlineLevel="0" max="3" min="3" style="1" width="36"/>
    <col collapsed="false" customWidth="true" hidden="false" outlineLevel="0" max="4" min="4" style="1" width="14"/>
    <col collapsed="false" customWidth="true" hidden="false" outlineLevel="0" max="5" min="5" style="1" width="23"/>
    <col collapsed="false" customWidth="true" hidden="false" outlineLevel="0" max="6" min="6" style="1" width="86"/>
    <col collapsed="false" customWidth="true" hidden="false" outlineLevel="0" max="7" min="7" style="1" width="27"/>
    <col collapsed="false" customWidth="true" hidden="false" outlineLevel="0" max="8" min="8" style="1" width="21"/>
    <col collapsed="false" customWidth="true" hidden="false" outlineLevel="0" max="9" min="9" style="1" width="74"/>
    <col collapsed="false" customWidth="true" hidden="false" outlineLevel="0" max="10" min="10" style="1" width="72"/>
  </cols>
  <sheetData>
    <row r="1" customFormat="false" ht="33.75" hidden="false" customHeight="true" outlineLevel="0" collapsed="false">
      <c r="A1" s="14" t="s">
        <v>460</v>
      </c>
      <c r="B1" s="14"/>
      <c r="C1" s="14"/>
      <c r="D1" s="14"/>
      <c r="E1" s="14"/>
      <c r="F1" s="14"/>
      <c r="G1" s="14"/>
      <c r="H1" s="14"/>
      <c r="I1" s="14"/>
      <c r="J1" s="14"/>
    </row>
    <row r="2" customFormat="false" ht="27" hidden="false" customHeight="true" outlineLevel="0" collapsed="false">
      <c r="A2" s="3" t="s">
        <v>357</v>
      </c>
      <c r="B2" s="3"/>
      <c r="C2" s="3"/>
      <c r="D2" s="3"/>
      <c r="E2" s="3"/>
      <c r="F2" s="3"/>
      <c r="G2" s="3"/>
      <c r="H2" s="3"/>
      <c r="I2" s="3"/>
      <c r="J2" s="3"/>
    </row>
    <row r="3" customFormat="false" ht="21.75" hidden="false" customHeight="true" outlineLevel="0" collapsed="false">
      <c r="A3" s="3" t="s">
        <v>445</v>
      </c>
      <c r="B3" s="3"/>
      <c r="C3" s="3"/>
      <c r="D3" s="3"/>
      <c r="E3" s="3"/>
      <c r="F3" s="3"/>
      <c r="G3" s="3"/>
      <c r="H3" s="3"/>
      <c r="I3" s="3"/>
      <c r="J3" s="3"/>
    </row>
    <row r="4" customFormat="false" ht="30" hidden="false" customHeight="true" outlineLevel="0" collapsed="false">
      <c r="A4" s="15" t="s">
        <v>40</v>
      </c>
      <c r="B4" s="15" t="s">
        <v>6</v>
      </c>
      <c r="C4" s="15" t="s">
        <v>41</v>
      </c>
      <c r="D4" s="15" t="s">
        <v>42</v>
      </c>
      <c r="E4" s="15" t="s">
        <v>43</v>
      </c>
      <c r="F4" s="15" t="s">
        <v>44</v>
      </c>
      <c r="G4" s="15" t="s">
        <v>45</v>
      </c>
      <c r="H4" s="15" t="s">
        <v>46</v>
      </c>
      <c r="I4" s="15" t="s">
        <v>47</v>
      </c>
      <c r="J4" s="15" t="s">
        <v>48</v>
      </c>
    </row>
    <row r="5" customFormat="false" ht="48" hidden="false" customHeight="true" outlineLevel="0" collapsed="false">
      <c r="A5" s="16" t="n">
        <v>13</v>
      </c>
      <c r="B5" s="17" t="n">
        <v>2</v>
      </c>
      <c r="C5" s="18" t="s">
        <v>408</v>
      </c>
      <c r="D5" s="19" t="s">
        <v>409</v>
      </c>
      <c r="E5" s="18" t="s">
        <v>31</v>
      </c>
      <c r="F5" s="18" t="s">
        <v>410</v>
      </c>
      <c r="G5" s="18" t="s">
        <v>411</v>
      </c>
      <c r="H5" s="18" t="str">
        <f aca="false">'Text-only review'!H17</f>
        <v>Review</v>
      </c>
      <c r="I5" s="18" t="s">
        <v>412</v>
      </c>
      <c r="J5" s="20" t="s">
        <v>413</v>
      </c>
    </row>
    <row r="6" customFormat="false" ht="48" hidden="false" customHeight="true" outlineLevel="0" collapsed="false">
      <c r="A6" s="16" t="n">
        <v>14</v>
      </c>
      <c r="B6" s="17" t="n">
        <v>2</v>
      </c>
      <c r="C6" s="18" t="s">
        <v>408</v>
      </c>
      <c r="D6" s="19" t="s">
        <v>414</v>
      </c>
      <c r="E6" s="18" t="s">
        <v>31</v>
      </c>
      <c r="F6" s="18" t="s">
        <v>415</v>
      </c>
      <c r="G6" s="18" t="s">
        <v>411</v>
      </c>
      <c r="H6" s="18" t="str">
        <f aca="false">'Text-only review'!H18</f>
        <v>Review</v>
      </c>
      <c r="I6" s="18" t="s">
        <v>412</v>
      </c>
      <c r="J6" s="20" t="s">
        <v>416</v>
      </c>
    </row>
    <row r="7" customFormat="false" ht="48" hidden="false" customHeight="true" outlineLevel="0" collapsed="false">
      <c r="A7" s="16" t="n">
        <v>15</v>
      </c>
      <c r="B7" s="17" t="n">
        <v>2</v>
      </c>
      <c r="C7" s="18" t="s">
        <v>417</v>
      </c>
      <c r="D7" s="19" t="s">
        <v>418</v>
      </c>
      <c r="E7" s="18" t="s">
        <v>31</v>
      </c>
      <c r="F7" s="18" t="s">
        <v>419</v>
      </c>
      <c r="G7" s="18" t="s">
        <v>420</v>
      </c>
      <c r="H7" s="18" t="str">
        <f aca="false">'Text-only review'!H19</f>
        <v>Review</v>
      </c>
      <c r="I7" s="18" t="s">
        <v>421</v>
      </c>
      <c r="J7" s="20" t="s">
        <v>422</v>
      </c>
    </row>
    <row r="8" customFormat="false" ht="48" hidden="false" customHeight="true" outlineLevel="0" collapsed="false">
      <c r="A8" s="16" t="n">
        <v>16</v>
      </c>
      <c r="B8" s="17" t="n">
        <v>2</v>
      </c>
      <c r="C8" s="18" t="s">
        <v>423</v>
      </c>
      <c r="D8" s="19" t="s">
        <v>424</v>
      </c>
      <c r="E8" s="18" t="s">
        <v>31</v>
      </c>
      <c r="F8" s="18" t="s">
        <v>425</v>
      </c>
      <c r="G8" s="18" t="s">
        <v>426</v>
      </c>
      <c r="H8" s="18" t="str">
        <f aca="false">'Text-only review'!H20</f>
        <v>Review</v>
      </c>
      <c r="I8" s="18" t="s">
        <v>427</v>
      </c>
      <c r="J8" s="20" t="s">
        <v>428</v>
      </c>
    </row>
    <row r="9" customFormat="false" ht="48" hidden="false" customHeight="true" outlineLevel="0" collapsed="false">
      <c r="A9" s="16" t="n">
        <v>17</v>
      </c>
      <c r="B9" s="17" t="n">
        <v>3</v>
      </c>
      <c r="C9" s="18" t="s">
        <v>423</v>
      </c>
      <c r="D9" s="19" t="s">
        <v>429</v>
      </c>
      <c r="E9" s="18" t="s">
        <v>31</v>
      </c>
      <c r="F9" s="18" t="s">
        <v>430</v>
      </c>
      <c r="G9" s="18" t="s">
        <v>426</v>
      </c>
      <c r="H9" s="18" t="str">
        <f aca="false">'Text-only review'!H21</f>
        <v>Review</v>
      </c>
      <c r="I9" s="18" t="s">
        <v>427</v>
      </c>
      <c r="J9" s="20" t="s">
        <v>431</v>
      </c>
    </row>
    <row r="10" customFormat="false" ht="48" hidden="false" customHeight="true" outlineLevel="0" collapsed="false">
      <c r="A10" s="16" t="n">
        <v>18</v>
      </c>
      <c r="B10" s="17" t="n">
        <v>3</v>
      </c>
      <c r="C10" s="18" t="s">
        <v>423</v>
      </c>
      <c r="D10" s="19" t="s">
        <v>432</v>
      </c>
      <c r="E10" s="18" t="s">
        <v>31</v>
      </c>
      <c r="F10" s="18" t="s">
        <v>433</v>
      </c>
      <c r="G10" s="18" t="s">
        <v>426</v>
      </c>
      <c r="H10" s="18" t="str">
        <f aca="false">'Text-only review'!H22</f>
        <v>Review</v>
      </c>
      <c r="I10" s="18" t="s">
        <v>427</v>
      </c>
      <c r="J10" s="20" t="s">
        <v>434</v>
      </c>
    </row>
    <row r="11" customFormat="false" ht="48" hidden="false" customHeight="true" outlineLevel="0" collapsed="false">
      <c r="A11" s="16" t="n">
        <v>19</v>
      </c>
      <c r="B11" s="17" t="n">
        <v>4</v>
      </c>
      <c r="C11" s="18" t="s">
        <v>408</v>
      </c>
      <c r="D11" s="19" t="s">
        <v>435</v>
      </c>
      <c r="E11" s="18" t="s">
        <v>31</v>
      </c>
      <c r="F11" s="18" t="s">
        <v>436</v>
      </c>
      <c r="G11" s="18" t="s">
        <v>411</v>
      </c>
      <c r="H11" s="18" t="str">
        <f aca="false">'Text-only review'!H23</f>
        <v>Review</v>
      </c>
      <c r="I11" s="18" t="s">
        <v>412</v>
      </c>
      <c r="J11" s="20" t="s">
        <v>437</v>
      </c>
    </row>
    <row r="12" customFormat="false" ht="48" hidden="false" customHeight="true" outlineLevel="0" collapsed="false">
      <c r="A12" s="16" t="n">
        <v>20</v>
      </c>
      <c r="B12" s="17" t="n">
        <v>4</v>
      </c>
      <c r="C12" s="18" t="s">
        <v>408</v>
      </c>
      <c r="D12" s="19" t="s">
        <v>438</v>
      </c>
      <c r="E12" s="18" t="s">
        <v>31</v>
      </c>
      <c r="F12" s="18" t="s">
        <v>439</v>
      </c>
      <c r="G12" s="18" t="s">
        <v>411</v>
      </c>
      <c r="H12" s="18" t="str">
        <f aca="false">'Text-only review'!H24</f>
        <v>Review</v>
      </c>
      <c r="I12" s="18" t="s">
        <v>412</v>
      </c>
      <c r="J12" s="20" t="s">
        <v>440</v>
      </c>
    </row>
    <row r="13" customFormat="false" ht="48" hidden="false" customHeight="true" outlineLevel="0" collapsed="false">
      <c r="A13" s="16" t="n">
        <v>21</v>
      </c>
      <c r="B13" s="17" t="n">
        <v>4</v>
      </c>
      <c r="C13" s="18" t="s">
        <v>408</v>
      </c>
      <c r="D13" s="19" t="s">
        <v>441</v>
      </c>
      <c r="E13" s="18" t="s">
        <v>31</v>
      </c>
      <c r="F13" s="18" t="s">
        <v>442</v>
      </c>
      <c r="G13" s="18" t="s">
        <v>411</v>
      </c>
      <c r="H13" s="18" t="str">
        <f aca="false">'Text-only review'!H25</f>
        <v>Review</v>
      </c>
      <c r="I13" s="18" t="s">
        <v>412</v>
      </c>
      <c r="J13" s="20" t="s">
        <v>443</v>
      </c>
    </row>
  </sheetData>
  <mergeCells count="3">
    <mergeCell ref="A1:J1"/>
    <mergeCell ref="A2:J2"/>
    <mergeCell ref="A3:J3"/>
  </mergeCells>
  <conditionalFormatting sqref="G5:G13">
    <cfRule type="expression" priority="2" aboveAverage="0" equalAverage="0" bottom="0" percent="0" rank="0" text="" dxfId="7">
      <formula>G5="Not in voice manifest"</formula>
    </cfRule>
  </conditionalFormatting>
  <conditionalFormatting sqref="H5:H13">
    <cfRule type="expression" priority="3" aboveAverage="0" equalAverage="0" bottom="0" percent="0" rank="0" text="" dxfId="7">
      <formula>H5="Recorded"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7D92"/>
    <pageSetUpPr fitToPage="false"/>
  </sheetPr>
  <dimension ref="A1:J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11"/>
    <col collapsed="false" customWidth="true" hidden="false" outlineLevel="0" max="3" min="3" style="1" width="36"/>
    <col collapsed="false" customWidth="true" hidden="false" outlineLevel="0" max="4" min="4" style="1" width="14"/>
    <col collapsed="false" customWidth="true" hidden="false" outlineLevel="0" max="5" min="5" style="1" width="23"/>
    <col collapsed="false" customWidth="true" hidden="false" outlineLevel="0" max="6" min="6" style="1" width="86"/>
    <col collapsed="false" customWidth="true" hidden="false" outlineLevel="0" max="7" min="7" style="1" width="27"/>
    <col collapsed="false" customWidth="true" hidden="false" outlineLevel="0" max="8" min="8" style="1" width="21"/>
    <col collapsed="false" customWidth="true" hidden="false" outlineLevel="0" max="9" min="9" style="1" width="74"/>
    <col collapsed="false" customWidth="true" hidden="false" outlineLevel="0" max="10" min="10" style="1" width="72"/>
  </cols>
  <sheetData>
    <row r="1" customFormat="false" ht="33.75" hidden="false" customHeight="true" outlineLevel="0" collapsed="false">
      <c r="A1" s="14" t="s">
        <v>461</v>
      </c>
      <c r="B1" s="14"/>
      <c r="C1" s="14"/>
      <c r="D1" s="14"/>
      <c r="E1" s="14"/>
      <c r="F1" s="14"/>
      <c r="G1" s="14"/>
      <c r="H1" s="14"/>
      <c r="I1" s="14"/>
      <c r="J1" s="14"/>
    </row>
    <row r="2" customFormat="false" ht="27" hidden="false" customHeight="true" outlineLevel="0" collapsed="false">
      <c r="A2" s="3" t="s">
        <v>38</v>
      </c>
      <c r="B2" s="3"/>
      <c r="C2" s="3"/>
      <c r="D2" s="3"/>
      <c r="E2" s="3"/>
      <c r="F2" s="3"/>
      <c r="G2" s="3"/>
      <c r="H2" s="3"/>
      <c r="I2" s="3"/>
      <c r="J2" s="3"/>
    </row>
    <row r="3" customFormat="false" ht="21.75" hidden="false" customHeight="true" outlineLevel="0" collapsed="false">
      <c r="A3" s="3" t="s">
        <v>445</v>
      </c>
      <c r="B3" s="3"/>
      <c r="C3" s="3"/>
      <c r="D3" s="3"/>
      <c r="E3" s="3"/>
      <c r="F3" s="3"/>
      <c r="G3" s="3"/>
      <c r="H3" s="3"/>
      <c r="I3" s="3"/>
      <c r="J3" s="3"/>
    </row>
    <row r="4" customFormat="false" ht="30" hidden="false" customHeight="true" outlineLevel="0" collapsed="false">
      <c r="A4" s="15" t="s">
        <v>40</v>
      </c>
      <c r="B4" s="15" t="s">
        <v>6</v>
      </c>
      <c r="C4" s="15" t="s">
        <v>41</v>
      </c>
      <c r="D4" s="15" t="s">
        <v>42</v>
      </c>
      <c r="E4" s="15" t="s">
        <v>43</v>
      </c>
      <c r="F4" s="15" t="s">
        <v>44</v>
      </c>
      <c r="G4" s="15" t="s">
        <v>45</v>
      </c>
      <c r="H4" s="15" t="s">
        <v>46</v>
      </c>
      <c r="I4" s="15" t="s">
        <v>47</v>
      </c>
      <c r="J4" s="15" t="s">
        <v>48</v>
      </c>
    </row>
    <row r="5" customFormat="false" ht="55.5" hidden="false" customHeight="true" outlineLevel="0" collapsed="false">
      <c r="A5" s="16" t="n">
        <v>4</v>
      </c>
      <c r="B5" s="17" t="n">
        <v>2</v>
      </c>
      <c r="C5" s="18" t="s">
        <v>62</v>
      </c>
      <c r="D5" s="19" t="s">
        <v>63</v>
      </c>
      <c r="E5" s="18" t="s">
        <v>33</v>
      </c>
      <c r="F5" s="18" t="s">
        <v>64</v>
      </c>
      <c r="G5" s="18" t="s">
        <v>52</v>
      </c>
      <c r="H5" s="18" t="str">
        <f aca="false">'Missing lines'!H8</f>
        <v>To record</v>
      </c>
      <c r="I5" s="18" t="s">
        <v>65</v>
      </c>
      <c r="J5" s="20" t="s">
        <v>66</v>
      </c>
    </row>
    <row r="6" customFormat="false" ht="55.5" hidden="false" customHeight="true" outlineLevel="0" collapsed="false">
      <c r="A6" s="16" t="n">
        <v>7</v>
      </c>
      <c r="B6" s="17" t="n">
        <v>2</v>
      </c>
      <c r="C6" s="18" t="s">
        <v>62</v>
      </c>
      <c r="D6" s="19" t="s">
        <v>75</v>
      </c>
      <c r="E6" s="18" t="s">
        <v>33</v>
      </c>
      <c r="F6" s="18" t="s">
        <v>76</v>
      </c>
      <c r="G6" s="18" t="s">
        <v>52</v>
      </c>
      <c r="H6" s="18" t="str">
        <f aca="false">'Missing lines'!H11</f>
        <v>To record</v>
      </c>
      <c r="I6" s="18" t="s">
        <v>65</v>
      </c>
      <c r="J6" s="20" t="s">
        <v>77</v>
      </c>
    </row>
    <row r="7" customFormat="false" ht="55.5" hidden="false" customHeight="true" outlineLevel="0" collapsed="false">
      <c r="A7" s="16" t="n">
        <v>46</v>
      </c>
      <c r="B7" s="17" t="n">
        <v>3</v>
      </c>
      <c r="C7" s="18" t="s">
        <v>224</v>
      </c>
      <c r="D7" s="19" t="s">
        <v>233</v>
      </c>
      <c r="E7" s="18" t="s">
        <v>33</v>
      </c>
      <c r="F7" s="18" t="s">
        <v>234</v>
      </c>
      <c r="G7" s="18" t="s">
        <v>52</v>
      </c>
      <c r="H7" s="18" t="str">
        <f aca="false">'Missing lines'!H50</f>
        <v>To record</v>
      </c>
      <c r="I7" s="18" t="s">
        <v>235</v>
      </c>
      <c r="J7" s="20" t="s">
        <v>236</v>
      </c>
    </row>
    <row r="8" customFormat="false" ht="48" hidden="false" customHeight="true" outlineLevel="0" collapsed="false">
      <c r="A8" s="16" t="n">
        <v>61</v>
      </c>
      <c r="B8" s="17" t="n">
        <v>4</v>
      </c>
      <c r="C8" s="18" t="s">
        <v>294</v>
      </c>
      <c r="D8" s="19" t="s">
        <v>295</v>
      </c>
      <c r="E8" s="18" t="s">
        <v>33</v>
      </c>
      <c r="F8" s="18" t="s">
        <v>296</v>
      </c>
      <c r="G8" s="18" t="s">
        <v>52</v>
      </c>
      <c r="H8" s="18" t="str">
        <f aca="false">'Missing lines'!H65</f>
        <v>To record</v>
      </c>
      <c r="I8" s="18" t="s">
        <v>297</v>
      </c>
      <c r="J8" s="20" t="s">
        <v>298</v>
      </c>
    </row>
  </sheetData>
  <mergeCells count="3">
    <mergeCell ref="A1:J1"/>
    <mergeCell ref="A2:J2"/>
    <mergeCell ref="A3:J3"/>
  </mergeCells>
  <conditionalFormatting sqref="G5:G8">
    <cfRule type="expression" priority="2" aboveAverage="0" equalAverage="0" bottom="0" percent="0" rank="0" text="" dxfId="7">
      <formula>G5="Not in voice manifest"</formula>
    </cfRule>
  </conditionalFormatting>
  <conditionalFormatting sqref="H5:H8">
    <cfRule type="expression" priority="3" aboveAverage="0" equalAverage="0" bottom="0" percent="0" rank="0" text="" dxfId="7">
      <formula>H5="Recorded"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7D92"/>
    <pageSetUpPr fitToPage="false"/>
  </sheetPr>
  <dimension ref="A1:J3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11"/>
    <col collapsed="false" customWidth="true" hidden="false" outlineLevel="0" max="3" min="3" style="1" width="36"/>
    <col collapsed="false" customWidth="true" hidden="false" outlineLevel="0" max="4" min="4" style="1" width="14"/>
    <col collapsed="false" customWidth="true" hidden="false" outlineLevel="0" max="5" min="5" style="1" width="23"/>
    <col collapsed="false" customWidth="true" hidden="false" outlineLevel="0" max="6" min="6" style="1" width="86"/>
    <col collapsed="false" customWidth="true" hidden="false" outlineLevel="0" max="7" min="7" style="1" width="27"/>
    <col collapsed="false" customWidth="true" hidden="false" outlineLevel="0" max="8" min="8" style="1" width="21"/>
    <col collapsed="false" customWidth="true" hidden="false" outlineLevel="0" max="9" min="9" style="1" width="74"/>
    <col collapsed="false" customWidth="true" hidden="false" outlineLevel="0" max="10" min="10" style="1" width="72"/>
  </cols>
  <sheetData>
    <row r="1" customFormat="false" ht="33.75" hidden="false" customHeight="true" outlineLevel="0" collapsed="false">
      <c r="A1" s="14" t="s">
        <v>462</v>
      </c>
      <c r="B1" s="14"/>
      <c r="C1" s="14"/>
      <c r="D1" s="14"/>
      <c r="E1" s="14"/>
      <c r="F1" s="14"/>
      <c r="G1" s="14"/>
      <c r="H1" s="14"/>
      <c r="I1" s="14"/>
      <c r="J1" s="14"/>
    </row>
    <row r="2" customFormat="false" ht="27" hidden="false" customHeight="true" outlineLevel="0" collapsed="false">
      <c r="A2" s="3" t="s">
        <v>38</v>
      </c>
      <c r="B2" s="3"/>
      <c r="C2" s="3"/>
      <c r="D2" s="3"/>
      <c r="E2" s="3"/>
      <c r="F2" s="3"/>
      <c r="G2" s="3"/>
      <c r="H2" s="3"/>
      <c r="I2" s="3"/>
      <c r="J2" s="3"/>
    </row>
    <row r="3" customFormat="false" ht="21.75" hidden="false" customHeight="true" outlineLevel="0" collapsed="false">
      <c r="A3" s="3" t="s">
        <v>445</v>
      </c>
      <c r="B3" s="3"/>
      <c r="C3" s="3"/>
      <c r="D3" s="3"/>
      <c r="E3" s="3"/>
      <c r="F3" s="3"/>
      <c r="G3" s="3"/>
      <c r="H3" s="3"/>
      <c r="I3" s="3"/>
      <c r="J3" s="3"/>
    </row>
    <row r="4" customFormat="false" ht="30" hidden="false" customHeight="true" outlineLevel="0" collapsed="false">
      <c r="A4" s="15" t="s">
        <v>40</v>
      </c>
      <c r="B4" s="15" t="s">
        <v>6</v>
      </c>
      <c r="C4" s="15" t="s">
        <v>41</v>
      </c>
      <c r="D4" s="15" t="s">
        <v>42</v>
      </c>
      <c r="E4" s="15" t="s">
        <v>43</v>
      </c>
      <c r="F4" s="15" t="s">
        <v>44</v>
      </c>
      <c r="G4" s="15" t="s">
        <v>45</v>
      </c>
      <c r="H4" s="15" t="s">
        <v>46</v>
      </c>
      <c r="I4" s="15" t="s">
        <v>47</v>
      </c>
      <c r="J4" s="15" t="s">
        <v>48</v>
      </c>
    </row>
    <row r="5" customFormat="false" ht="48" hidden="false" customHeight="true" outlineLevel="0" collapsed="false">
      <c r="A5" s="16" t="n">
        <v>18</v>
      </c>
      <c r="B5" s="17" t="n">
        <v>3</v>
      </c>
      <c r="C5" s="18" t="s">
        <v>119</v>
      </c>
      <c r="D5" s="19" t="s">
        <v>120</v>
      </c>
      <c r="E5" s="18" t="s">
        <v>34</v>
      </c>
      <c r="F5" s="18" t="s">
        <v>121</v>
      </c>
      <c r="G5" s="18" t="s">
        <v>85</v>
      </c>
      <c r="H5" s="18" t="str">
        <f aca="false">'Missing lines'!H22</f>
        <v>To record</v>
      </c>
      <c r="I5" s="18" t="s">
        <v>86</v>
      </c>
      <c r="J5" s="20" t="s">
        <v>122</v>
      </c>
    </row>
    <row r="6" customFormat="false" ht="48" hidden="false" customHeight="true" outlineLevel="0" collapsed="false">
      <c r="A6" s="16" t="n">
        <v>19</v>
      </c>
      <c r="B6" s="17" t="n">
        <v>3</v>
      </c>
      <c r="C6" s="18" t="s">
        <v>123</v>
      </c>
      <c r="D6" s="19" t="s">
        <v>124</v>
      </c>
      <c r="E6" s="18" t="s">
        <v>34</v>
      </c>
      <c r="F6" s="18" t="s">
        <v>125</v>
      </c>
      <c r="G6" s="18" t="s">
        <v>85</v>
      </c>
      <c r="H6" s="18" t="str">
        <f aca="false">'Missing lines'!H23</f>
        <v>To record</v>
      </c>
      <c r="I6" s="18" t="s">
        <v>86</v>
      </c>
      <c r="J6" s="20" t="s">
        <v>126</v>
      </c>
    </row>
    <row r="7" customFormat="false" ht="48" hidden="false" customHeight="true" outlineLevel="0" collapsed="false">
      <c r="A7" s="16" t="n">
        <v>20</v>
      </c>
      <c r="B7" s="17" t="n">
        <v>3</v>
      </c>
      <c r="C7" s="18" t="s">
        <v>127</v>
      </c>
      <c r="D7" s="19" t="s">
        <v>128</v>
      </c>
      <c r="E7" s="18" t="s">
        <v>34</v>
      </c>
      <c r="F7" s="18" t="s">
        <v>129</v>
      </c>
      <c r="G7" s="18" t="s">
        <v>85</v>
      </c>
      <c r="H7" s="18" t="str">
        <f aca="false">'Missing lines'!H24</f>
        <v>To record</v>
      </c>
      <c r="I7" s="18" t="s">
        <v>86</v>
      </c>
      <c r="J7" s="20" t="s">
        <v>130</v>
      </c>
    </row>
    <row r="8" customFormat="false" ht="48" hidden="false" customHeight="true" outlineLevel="0" collapsed="false">
      <c r="A8" s="16" t="n">
        <v>21</v>
      </c>
      <c r="B8" s="17" t="n">
        <v>3</v>
      </c>
      <c r="C8" s="18" t="s">
        <v>131</v>
      </c>
      <c r="D8" s="19" t="s">
        <v>132</v>
      </c>
      <c r="E8" s="18" t="s">
        <v>34</v>
      </c>
      <c r="F8" s="18" t="s">
        <v>133</v>
      </c>
      <c r="G8" s="18" t="s">
        <v>85</v>
      </c>
      <c r="H8" s="18" t="str">
        <f aca="false">'Missing lines'!H25</f>
        <v>To record</v>
      </c>
      <c r="I8" s="18" t="s">
        <v>86</v>
      </c>
      <c r="J8" s="20" t="s">
        <v>134</v>
      </c>
    </row>
    <row r="9" customFormat="false" ht="48" hidden="false" customHeight="true" outlineLevel="0" collapsed="false">
      <c r="A9" s="16" t="n">
        <v>22</v>
      </c>
      <c r="B9" s="17" t="n">
        <v>3</v>
      </c>
      <c r="C9" s="18" t="s">
        <v>135</v>
      </c>
      <c r="D9" s="19" t="s">
        <v>136</v>
      </c>
      <c r="E9" s="18" t="s">
        <v>34</v>
      </c>
      <c r="F9" s="18" t="s">
        <v>137</v>
      </c>
      <c r="G9" s="18" t="s">
        <v>85</v>
      </c>
      <c r="H9" s="18" t="str">
        <f aca="false">'Missing lines'!H26</f>
        <v>To record</v>
      </c>
      <c r="I9" s="18" t="s">
        <v>138</v>
      </c>
      <c r="J9" s="20" t="s">
        <v>139</v>
      </c>
    </row>
    <row r="10" customFormat="false" ht="48" hidden="false" customHeight="true" outlineLevel="0" collapsed="false">
      <c r="A10" s="16" t="n">
        <v>23</v>
      </c>
      <c r="B10" s="17" t="n">
        <v>3</v>
      </c>
      <c r="C10" s="18" t="s">
        <v>140</v>
      </c>
      <c r="D10" s="19" t="s">
        <v>141</v>
      </c>
      <c r="E10" s="18" t="s">
        <v>34</v>
      </c>
      <c r="F10" s="18" t="s">
        <v>142</v>
      </c>
      <c r="G10" s="18" t="s">
        <v>85</v>
      </c>
      <c r="H10" s="18" t="str">
        <f aca="false">'Missing lines'!H27</f>
        <v>To record</v>
      </c>
      <c r="I10" s="18" t="s">
        <v>86</v>
      </c>
      <c r="J10" s="20" t="s">
        <v>143</v>
      </c>
    </row>
    <row r="11" customFormat="false" ht="48" hidden="false" customHeight="true" outlineLevel="0" collapsed="false">
      <c r="A11" s="16" t="n">
        <v>25</v>
      </c>
      <c r="B11" s="17" t="n">
        <v>3</v>
      </c>
      <c r="C11" s="18" t="s">
        <v>149</v>
      </c>
      <c r="D11" s="19" t="s">
        <v>150</v>
      </c>
      <c r="E11" s="18" t="s">
        <v>34</v>
      </c>
      <c r="F11" s="18" t="s">
        <v>151</v>
      </c>
      <c r="G11" s="18" t="s">
        <v>85</v>
      </c>
      <c r="H11" s="18" t="str">
        <f aca="false">'Missing lines'!H29</f>
        <v>To record</v>
      </c>
      <c r="I11" s="18" t="s">
        <v>86</v>
      </c>
      <c r="J11" s="20" t="s">
        <v>152</v>
      </c>
    </row>
    <row r="12" customFormat="false" ht="48" hidden="false" customHeight="true" outlineLevel="0" collapsed="false">
      <c r="A12" s="16" t="n">
        <v>26</v>
      </c>
      <c r="B12" s="17" t="n">
        <v>3</v>
      </c>
      <c r="C12" s="18" t="s">
        <v>153</v>
      </c>
      <c r="D12" s="19" t="s">
        <v>154</v>
      </c>
      <c r="E12" s="18" t="s">
        <v>34</v>
      </c>
      <c r="F12" s="18" t="s">
        <v>155</v>
      </c>
      <c r="G12" s="18" t="s">
        <v>85</v>
      </c>
      <c r="H12" s="18" t="str">
        <f aca="false">'Missing lines'!H30</f>
        <v>To record</v>
      </c>
      <c r="I12" s="18" t="s">
        <v>156</v>
      </c>
      <c r="J12" s="20" t="s">
        <v>157</v>
      </c>
    </row>
    <row r="13" customFormat="false" ht="55.5" hidden="false" customHeight="true" outlineLevel="0" collapsed="false">
      <c r="A13" s="16" t="n">
        <v>27</v>
      </c>
      <c r="B13" s="17" t="n">
        <v>3</v>
      </c>
      <c r="C13" s="18" t="s">
        <v>158</v>
      </c>
      <c r="D13" s="19" t="s">
        <v>159</v>
      </c>
      <c r="E13" s="18" t="s">
        <v>34</v>
      </c>
      <c r="F13" s="18" t="s">
        <v>160</v>
      </c>
      <c r="G13" s="18" t="s">
        <v>52</v>
      </c>
      <c r="H13" s="18" t="str">
        <f aca="false">'Missing lines'!H31</f>
        <v>To record</v>
      </c>
      <c r="I13" s="18" t="s">
        <v>161</v>
      </c>
      <c r="J13" s="20" t="s">
        <v>162</v>
      </c>
    </row>
    <row r="14" customFormat="false" ht="55.5" hidden="false" customHeight="true" outlineLevel="0" collapsed="false">
      <c r="A14" s="16" t="n">
        <v>28</v>
      </c>
      <c r="B14" s="17" t="n">
        <v>3</v>
      </c>
      <c r="C14" s="18" t="s">
        <v>158</v>
      </c>
      <c r="D14" s="19" t="s">
        <v>163</v>
      </c>
      <c r="E14" s="18" t="s">
        <v>34</v>
      </c>
      <c r="F14" s="18" t="s">
        <v>164</v>
      </c>
      <c r="G14" s="18" t="s">
        <v>52</v>
      </c>
      <c r="H14" s="18" t="str">
        <f aca="false">'Missing lines'!H32</f>
        <v>To record</v>
      </c>
      <c r="I14" s="18" t="s">
        <v>161</v>
      </c>
      <c r="J14" s="20" t="s">
        <v>165</v>
      </c>
    </row>
    <row r="15" customFormat="false" ht="55.5" hidden="false" customHeight="true" outlineLevel="0" collapsed="false">
      <c r="A15" s="16" t="n">
        <v>29</v>
      </c>
      <c r="B15" s="17" t="n">
        <v>3</v>
      </c>
      <c r="C15" s="18" t="s">
        <v>158</v>
      </c>
      <c r="D15" s="19" t="s">
        <v>166</v>
      </c>
      <c r="E15" s="18" t="s">
        <v>34</v>
      </c>
      <c r="F15" s="18" t="s">
        <v>167</v>
      </c>
      <c r="G15" s="18" t="s">
        <v>52</v>
      </c>
      <c r="H15" s="18" t="str">
        <f aca="false">'Missing lines'!H33</f>
        <v>To record</v>
      </c>
      <c r="I15" s="18" t="s">
        <v>161</v>
      </c>
      <c r="J15" s="20" t="s">
        <v>168</v>
      </c>
    </row>
    <row r="16" customFormat="false" ht="48" hidden="false" customHeight="true" outlineLevel="0" collapsed="false">
      <c r="A16" s="16" t="n">
        <v>30</v>
      </c>
      <c r="B16" s="17" t="n">
        <v>3</v>
      </c>
      <c r="C16" s="18" t="s">
        <v>169</v>
      </c>
      <c r="D16" s="19" t="s">
        <v>170</v>
      </c>
      <c r="E16" s="18" t="s">
        <v>34</v>
      </c>
      <c r="F16" s="18" t="s">
        <v>171</v>
      </c>
      <c r="G16" s="18" t="s">
        <v>85</v>
      </c>
      <c r="H16" s="18" t="str">
        <f aca="false">'Missing lines'!H34</f>
        <v>To record</v>
      </c>
      <c r="I16" s="18" t="s">
        <v>172</v>
      </c>
      <c r="J16" s="20" t="s">
        <v>173</v>
      </c>
    </row>
    <row r="17" customFormat="false" ht="48" hidden="false" customHeight="true" outlineLevel="0" collapsed="false">
      <c r="A17" s="16" t="n">
        <v>31</v>
      </c>
      <c r="B17" s="17" t="n">
        <v>3</v>
      </c>
      <c r="C17" s="18" t="s">
        <v>174</v>
      </c>
      <c r="D17" s="19" t="s">
        <v>175</v>
      </c>
      <c r="E17" s="18" t="s">
        <v>34</v>
      </c>
      <c r="F17" s="18" t="s">
        <v>176</v>
      </c>
      <c r="G17" s="18" t="s">
        <v>85</v>
      </c>
      <c r="H17" s="18" t="str">
        <f aca="false">'Missing lines'!H35</f>
        <v>To record</v>
      </c>
      <c r="I17" s="18" t="s">
        <v>86</v>
      </c>
      <c r="J17" s="20" t="s">
        <v>177</v>
      </c>
    </row>
    <row r="18" customFormat="false" ht="48" hidden="false" customHeight="true" outlineLevel="0" collapsed="false">
      <c r="A18" s="16" t="n">
        <v>32</v>
      </c>
      <c r="B18" s="17" t="n">
        <v>3</v>
      </c>
      <c r="C18" s="18" t="s">
        <v>178</v>
      </c>
      <c r="D18" s="19" t="s">
        <v>179</v>
      </c>
      <c r="E18" s="18" t="s">
        <v>34</v>
      </c>
      <c r="F18" s="18" t="s">
        <v>180</v>
      </c>
      <c r="G18" s="18" t="s">
        <v>85</v>
      </c>
      <c r="H18" s="18" t="str">
        <f aca="false">'Missing lines'!H36</f>
        <v>To record</v>
      </c>
      <c r="I18" s="18" t="s">
        <v>138</v>
      </c>
      <c r="J18" s="20" t="s">
        <v>181</v>
      </c>
    </row>
    <row r="19" customFormat="false" ht="48" hidden="false" customHeight="true" outlineLevel="0" collapsed="false">
      <c r="A19" s="16" t="n">
        <v>33</v>
      </c>
      <c r="B19" s="17" t="n">
        <v>3</v>
      </c>
      <c r="C19" s="18" t="s">
        <v>182</v>
      </c>
      <c r="D19" s="19" t="s">
        <v>183</v>
      </c>
      <c r="E19" s="18" t="s">
        <v>34</v>
      </c>
      <c r="F19" s="18" t="s">
        <v>184</v>
      </c>
      <c r="G19" s="18" t="s">
        <v>85</v>
      </c>
      <c r="H19" s="18" t="str">
        <f aca="false">'Missing lines'!H37</f>
        <v>To record</v>
      </c>
      <c r="I19" s="18" t="s">
        <v>86</v>
      </c>
      <c r="J19" s="20" t="s">
        <v>185</v>
      </c>
    </row>
    <row r="20" customFormat="false" ht="55.5" hidden="false" customHeight="true" outlineLevel="0" collapsed="false">
      <c r="A20" s="16" t="n">
        <v>34</v>
      </c>
      <c r="B20" s="17" t="n">
        <v>3</v>
      </c>
      <c r="C20" s="18" t="s">
        <v>186</v>
      </c>
      <c r="D20" s="19" t="s">
        <v>187</v>
      </c>
      <c r="E20" s="18" t="s">
        <v>34</v>
      </c>
      <c r="F20" s="18" t="s">
        <v>188</v>
      </c>
      <c r="G20" s="18" t="s">
        <v>52</v>
      </c>
      <c r="H20" s="18" t="str">
        <f aca="false">'Missing lines'!H38</f>
        <v>To record</v>
      </c>
      <c r="I20" s="18" t="s">
        <v>161</v>
      </c>
      <c r="J20" s="20" t="s">
        <v>189</v>
      </c>
    </row>
    <row r="21" customFormat="false" ht="55.5" hidden="false" customHeight="true" outlineLevel="0" collapsed="false">
      <c r="A21" s="16" t="n">
        <v>35</v>
      </c>
      <c r="B21" s="17" t="n">
        <v>3</v>
      </c>
      <c r="C21" s="18" t="s">
        <v>186</v>
      </c>
      <c r="D21" s="19" t="s">
        <v>190</v>
      </c>
      <c r="E21" s="18" t="s">
        <v>34</v>
      </c>
      <c r="F21" s="18" t="s">
        <v>191</v>
      </c>
      <c r="G21" s="18" t="s">
        <v>52</v>
      </c>
      <c r="H21" s="18" t="str">
        <f aca="false">'Missing lines'!H39</f>
        <v>To record</v>
      </c>
      <c r="I21" s="18" t="s">
        <v>161</v>
      </c>
      <c r="J21" s="20" t="s">
        <v>192</v>
      </c>
    </row>
    <row r="22" customFormat="false" ht="55.5" hidden="false" customHeight="true" outlineLevel="0" collapsed="false">
      <c r="A22" s="16" t="n">
        <v>36</v>
      </c>
      <c r="B22" s="17" t="n">
        <v>3</v>
      </c>
      <c r="C22" s="18" t="s">
        <v>186</v>
      </c>
      <c r="D22" s="19" t="s">
        <v>193</v>
      </c>
      <c r="E22" s="18" t="s">
        <v>34</v>
      </c>
      <c r="F22" s="18" t="s">
        <v>194</v>
      </c>
      <c r="G22" s="18" t="s">
        <v>52</v>
      </c>
      <c r="H22" s="18" t="str">
        <f aca="false">'Missing lines'!H40</f>
        <v>To record</v>
      </c>
      <c r="I22" s="18" t="s">
        <v>161</v>
      </c>
      <c r="J22" s="20" t="s">
        <v>195</v>
      </c>
    </row>
    <row r="23" customFormat="false" ht="48" hidden="false" customHeight="true" outlineLevel="0" collapsed="false">
      <c r="A23" s="16" t="n">
        <v>38</v>
      </c>
      <c r="B23" s="17" t="n">
        <v>3</v>
      </c>
      <c r="C23" s="18" t="s">
        <v>200</v>
      </c>
      <c r="D23" s="19" t="s">
        <v>201</v>
      </c>
      <c r="E23" s="18" t="s">
        <v>34</v>
      </c>
      <c r="F23" s="18" t="s">
        <v>202</v>
      </c>
      <c r="G23" s="18" t="s">
        <v>85</v>
      </c>
      <c r="H23" s="18" t="str">
        <f aca="false">'Missing lines'!H42</f>
        <v>To record</v>
      </c>
      <c r="I23" s="18" t="s">
        <v>86</v>
      </c>
      <c r="J23" s="20" t="s">
        <v>203</v>
      </c>
    </row>
    <row r="24" customFormat="false" ht="48" hidden="false" customHeight="true" outlineLevel="0" collapsed="false">
      <c r="A24" s="16" t="n">
        <v>40</v>
      </c>
      <c r="B24" s="17" t="n">
        <v>3</v>
      </c>
      <c r="C24" s="18" t="s">
        <v>208</v>
      </c>
      <c r="D24" s="19" t="s">
        <v>209</v>
      </c>
      <c r="E24" s="18" t="s">
        <v>34</v>
      </c>
      <c r="F24" s="18" t="s">
        <v>210</v>
      </c>
      <c r="G24" s="18" t="s">
        <v>85</v>
      </c>
      <c r="H24" s="18" t="str">
        <f aca="false">'Missing lines'!H44</f>
        <v>To record</v>
      </c>
      <c r="I24" s="18" t="s">
        <v>86</v>
      </c>
      <c r="J24" s="20" t="s">
        <v>211</v>
      </c>
    </row>
    <row r="25" customFormat="false" ht="48" hidden="false" customHeight="true" outlineLevel="0" collapsed="false">
      <c r="A25" s="16" t="n">
        <v>43</v>
      </c>
      <c r="B25" s="17" t="n">
        <v>3</v>
      </c>
      <c r="C25" s="18" t="s">
        <v>220</v>
      </c>
      <c r="D25" s="19" t="s">
        <v>221</v>
      </c>
      <c r="E25" s="18" t="s">
        <v>34</v>
      </c>
      <c r="F25" s="18" t="s">
        <v>222</v>
      </c>
      <c r="G25" s="18" t="s">
        <v>85</v>
      </c>
      <c r="H25" s="18" t="str">
        <f aca="false">'Missing lines'!H47</f>
        <v>To record</v>
      </c>
      <c r="I25" s="18" t="s">
        <v>156</v>
      </c>
      <c r="J25" s="20" t="s">
        <v>223</v>
      </c>
    </row>
    <row r="26" customFormat="false" ht="55.5" hidden="false" customHeight="true" outlineLevel="0" collapsed="false">
      <c r="A26" s="16" t="n">
        <v>44</v>
      </c>
      <c r="B26" s="17" t="n">
        <v>3</v>
      </c>
      <c r="C26" s="18" t="s">
        <v>224</v>
      </c>
      <c r="D26" s="19" t="s">
        <v>225</v>
      </c>
      <c r="E26" s="18" t="s">
        <v>34</v>
      </c>
      <c r="F26" s="18" t="s">
        <v>226</v>
      </c>
      <c r="G26" s="18" t="s">
        <v>52</v>
      </c>
      <c r="H26" s="18" t="str">
        <f aca="false">'Missing lines'!H48</f>
        <v>To record</v>
      </c>
      <c r="I26" s="18" t="s">
        <v>227</v>
      </c>
      <c r="J26" s="20" t="s">
        <v>228</v>
      </c>
    </row>
    <row r="27" customFormat="false" ht="48" hidden="false" customHeight="true" outlineLevel="0" collapsed="false">
      <c r="A27" s="16" t="n">
        <v>45</v>
      </c>
      <c r="B27" s="17" t="n">
        <v>3</v>
      </c>
      <c r="C27" s="18" t="s">
        <v>229</v>
      </c>
      <c r="D27" s="19" t="s">
        <v>230</v>
      </c>
      <c r="E27" s="18" t="s">
        <v>34</v>
      </c>
      <c r="F27" s="18" t="s">
        <v>231</v>
      </c>
      <c r="G27" s="18" t="s">
        <v>85</v>
      </c>
      <c r="H27" s="18" t="str">
        <f aca="false">'Missing lines'!H49</f>
        <v>To record</v>
      </c>
      <c r="I27" s="18" t="s">
        <v>156</v>
      </c>
      <c r="J27" s="20" t="s">
        <v>232</v>
      </c>
    </row>
    <row r="28" customFormat="false" ht="55.5" hidden="false" customHeight="true" outlineLevel="0" collapsed="false">
      <c r="A28" s="16" t="n">
        <v>47</v>
      </c>
      <c r="B28" s="17" t="n">
        <v>3</v>
      </c>
      <c r="C28" s="18" t="s">
        <v>224</v>
      </c>
      <c r="D28" s="19" t="s">
        <v>237</v>
      </c>
      <c r="E28" s="18" t="s">
        <v>34</v>
      </c>
      <c r="F28" s="18" t="s">
        <v>238</v>
      </c>
      <c r="G28" s="18" t="s">
        <v>52</v>
      </c>
      <c r="H28" s="18" t="str">
        <f aca="false">'Missing lines'!H51</f>
        <v>To record</v>
      </c>
      <c r="I28" s="18" t="s">
        <v>239</v>
      </c>
      <c r="J28" s="20" t="s">
        <v>240</v>
      </c>
    </row>
    <row r="29" customFormat="false" ht="48" hidden="false" customHeight="true" outlineLevel="0" collapsed="false">
      <c r="A29" s="16" t="n">
        <v>49</v>
      </c>
      <c r="B29" s="17" t="n">
        <v>3</v>
      </c>
      <c r="C29" s="18" t="s">
        <v>245</v>
      </c>
      <c r="D29" s="19" t="s">
        <v>246</v>
      </c>
      <c r="E29" s="18" t="s">
        <v>34</v>
      </c>
      <c r="F29" s="18" t="s">
        <v>247</v>
      </c>
      <c r="G29" s="18" t="s">
        <v>85</v>
      </c>
      <c r="H29" s="18" t="str">
        <f aca="false">'Missing lines'!H53</f>
        <v>To record</v>
      </c>
      <c r="I29" s="18" t="s">
        <v>156</v>
      </c>
      <c r="J29" s="20" t="s">
        <v>248</v>
      </c>
    </row>
    <row r="30" customFormat="false" ht="48" hidden="false" customHeight="true" outlineLevel="0" collapsed="false">
      <c r="A30" s="16" t="n">
        <v>50</v>
      </c>
      <c r="B30" s="17" t="n">
        <v>3</v>
      </c>
      <c r="C30" s="18" t="s">
        <v>249</v>
      </c>
      <c r="D30" s="19" t="s">
        <v>250</v>
      </c>
      <c r="E30" s="18" t="s">
        <v>34</v>
      </c>
      <c r="F30" s="18" t="s">
        <v>251</v>
      </c>
      <c r="G30" s="18" t="s">
        <v>85</v>
      </c>
      <c r="H30" s="18" t="str">
        <f aca="false">'Missing lines'!H54</f>
        <v>To record</v>
      </c>
      <c r="I30" s="18" t="s">
        <v>156</v>
      </c>
      <c r="J30" s="20" t="s">
        <v>252</v>
      </c>
    </row>
    <row r="31" customFormat="false" ht="48" hidden="false" customHeight="true" outlineLevel="0" collapsed="false">
      <c r="A31" s="16" t="n">
        <v>51</v>
      </c>
      <c r="B31" s="17" t="n">
        <v>3</v>
      </c>
      <c r="C31" s="18" t="s">
        <v>253</v>
      </c>
      <c r="D31" s="19" t="s">
        <v>254</v>
      </c>
      <c r="E31" s="18" t="s">
        <v>34</v>
      </c>
      <c r="F31" s="18" t="s">
        <v>255</v>
      </c>
      <c r="G31" s="18" t="s">
        <v>85</v>
      </c>
      <c r="H31" s="18" t="str">
        <f aca="false">'Missing lines'!H55</f>
        <v>To record</v>
      </c>
      <c r="I31" s="18" t="s">
        <v>156</v>
      </c>
      <c r="J31" s="20" t="s">
        <v>256</v>
      </c>
    </row>
    <row r="32" customFormat="false" ht="48" hidden="false" customHeight="true" outlineLevel="0" collapsed="false">
      <c r="A32" s="16" t="n">
        <v>53</v>
      </c>
      <c r="B32" s="17" t="n">
        <v>3</v>
      </c>
      <c r="C32" s="18" t="s">
        <v>261</v>
      </c>
      <c r="D32" s="19" t="s">
        <v>262</v>
      </c>
      <c r="E32" s="18" t="s">
        <v>34</v>
      </c>
      <c r="F32" s="18" t="s">
        <v>263</v>
      </c>
      <c r="G32" s="18" t="s">
        <v>85</v>
      </c>
      <c r="H32" s="18" t="str">
        <f aca="false">'Missing lines'!H57</f>
        <v>To record</v>
      </c>
      <c r="I32" s="18" t="s">
        <v>156</v>
      </c>
      <c r="J32" s="20" t="s">
        <v>264</v>
      </c>
    </row>
    <row r="33" customFormat="false" ht="48" hidden="false" customHeight="true" outlineLevel="0" collapsed="false">
      <c r="A33" s="16" t="n">
        <v>55</v>
      </c>
      <c r="B33" s="17" t="n">
        <v>3</v>
      </c>
      <c r="C33" s="18" t="s">
        <v>269</v>
      </c>
      <c r="D33" s="19" t="s">
        <v>270</v>
      </c>
      <c r="E33" s="18" t="s">
        <v>34</v>
      </c>
      <c r="F33" s="18" t="s">
        <v>271</v>
      </c>
      <c r="G33" s="18" t="s">
        <v>85</v>
      </c>
      <c r="H33" s="18" t="str">
        <f aca="false">'Missing lines'!H59</f>
        <v>To record</v>
      </c>
      <c r="I33" s="18" t="s">
        <v>156</v>
      </c>
      <c r="J33" s="20" t="s">
        <v>272</v>
      </c>
    </row>
    <row r="34" customFormat="false" ht="48" hidden="false" customHeight="true" outlineLevel="0" collapsed="false">
      <c r="A34" s="16" t="n">
        <v>57</v>
      </c>
      <c r="B34" s="17" t="n">
        <v>3</v>
      </c>
      <c r="C34" s="18" t="s">
        <v>277</v>
      </c>
      <c r="D34" s="19" t="s">
        <v>278</v>
      </c>
      <c r="E34" s="18" t="s">
        <v>34</v>
      </c>
      <c r="F34" s="18" t="s">
        <v>279</v>
      </c>
      <c r="G34" s="18" t="s">
        <v>85</v>
      </c>
      <c r="H34" s="18" t="str">
        <f aca="false">'Missing lines'!H61</f>
        <v>To record</v>
      </c>
      <c r="I34" s="18" t="s">
        <v>86</v>
      </c>
      <c r="J34" s="20" t="s">
        <v>280</v>
      </c>
    </row>
    <row r="35" customFormat="false" ht="48" hidden="false" customHeight="true" outlineLevel="0" collapsed="false">
      <c r="A35" s="16" t="n">
        <v>60</v>
      </c>
      <c r="B35" s="17" t="n">
        <v>3</v>
      </c>
      <c r="C35" s="18" t="s">
        <v>290</v>
      </c>
      <c r="D35" s="19" t="s">
        <v>291</v>
      </c>
      <c r="E35" s="18" t="s">
        <v>34</v>
      </c>
      <c r="F35" s="18" t="s">
        <v>292</v>
      </c>
      <c r="G35" s="18" t="s">
        <v>85</v>
      </c>
      <c r="H35" s="18" t="str">
        <f aca="false">'Missing lines'!H64</f>
        <v>To record</v>
      </c>
      <c r="I35" s="18" t="s">
        <v>86</v>
      </c>
      <c r="J35" s="20" t="s">
        <v>293</v>
      </c>
    </row>
  </sheetData>
  <mergeCells count="3">
    <mergeCell ref="A1:J1"/>
    <mergeCell ref="A2:J2"/>
    <mergeCell ref="A3:J3"/>
  </mergeCells>
  <conditionalFormatting sqref="G5:G35">
    <cfRule type="expression" priority="2" aboveAverage="0" equalAverage="0" bottom="0" percent="0" rank="0" text="" dxfId="7">
      <formula>G5="Not in voice manifest"</formula>
    </cfRule>
  </conditionalFormatting>
  <conditionalFormatting sqref="H5:H35">
    <cfRule type="expression" priority="3" aboveAverage="0" equalAverage="0" bottom="0" percent="0" rank="0" text="" dxfId="7">
      <formula>H5="Recorded"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87C86"/>
    <pageSetUpPr fitToPage="false"/>
  </sheetPr>
  <dimension ref="A1:H177"/>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4"/>
    <col collapsed="false" customWidth="true" hidden="false" outlineLevel="0" max="2" min="2" style="1" width="25"/>
    <col collapsed="false" customWidth="true" hidden="false" outlineLevel="0" max="3" min="3" style="1" width="27"/>
    <col collapsed="false" customWidth="true" hidden="false" outlineLevel="0" max="4" min="4" style="1" width="90"/>
    <col collapsed="false" customWidth="true" hidden="false" outlineLevel="0" max="5" min="5" style="1" width="24"/>
    <col collapsed="false" customWidth="true" hidden="false" outlineLevel="0" max="6" min="6" style="1" width="95"/>
    <col collapsed="false" customWidth="true" hidden="false" outlineLevel="0" max="7" min="7" style="1" width="80"/>
    <col collapsed="false" customWidth="true" hidden="false" outlineLevel="0" max="8" min="8" style="1" width="75"/>
  </cols>
  <sheetData>
    <row r="1" customFormat="false" ht="33.75" hidden="false" customHeight="true" outlineLevel="0" collapsed="false">
      <c r="A1" s="22" t="s">
        <v>463</v>
      </c>
      <c r="B1" s="22"/>
      <c r="C1" s="22"/>
      <c r="D1" s="22"/>
      <c r="E1" s="22"/>
      <c r="F1" s="22"/>
      <c r="G1" s="22"/>
      <c r="H1" s="22"/>
    </row>
    <row r="2" customFormat="false" ht="30" hidden="false" customHeight="true" outlineLevel="0" collapsed="false">
      <c r="A2" s="23" t="s">
        <v>464</v>
      </c>
      <c r="B2" s="23"/>
      <c r="C2" s="23"/>
      <c r="D2" s="23"/>
      <c r="E2" s="23"/>
      <c r="F2" s="23"/>
      <c r="G2" s="23"/>
      <c r="H2" s="23"/>
    </row>
    <row r="3" customFormat="false" ht="15" hidden="false" customHeight="true" outlineLevel="0" collapsed="false">
      <c r="A3" s="18"/>
      <c r="B3" s="18"/>
      <c r="C3" s="18"/>
      <c r="D3" s="18"/>
      <c r="E3" s="18"/>
      <c r="F3" s="18"/>
      <c r="G3" s="18"/>
      <c r="H3" s="18"/>
    </row>
    <row r="4" customFormat="false" ht="30" hidden="false" customHeight="true" outlineLevel="0" collapsed="false">
      <c r="A4" s="24" t="s">
        <v>465</v>
      </c>
      <c r="B4" s="24" t="s">
        <v>43</v>
      </c>
      <c r="C4" s="24" t="s">
        <v>466</v>
      </c>
      <c r="D4" s="24" t="s">
        <v>467</v>
      </c>
      <c r="E4" s="24" t="s">
        <v>468</v>
      </c>
      <c r="F4" s="24" t="s">
        <v>469</v>
      </c>
      <c r="G4" s="24" t="s">
        <v>470</v>
      </c>
      <c r="H4" s="24" t="s">
        <v>47</v>
      </c>
    </row>
    <row r="5" customFormat="false" ht="60" hidden="false" customHeight="true" outlineLevel="0" collapsed="false">
      <c r="A5" s="18" t="s">
        <v>83</v>
      </c>
      <c r="B5" s="18" t="s">
        <v>28</v>
      </c>
      <c r="C5" s="18" t="s">
        <v>457</v>
      </c>
      <c r="D5" s="18" t="s">
        <v>84</v>
      </c>
      <c r="E5" s="18" t="s">
        <v>7</v>
      </c>
      <c r="F5" s="18"/>
      <c r="G5" s="18" t="s">
        <v>87</v>
      </c>
      <c r="H5" s="18" t="s">
        <v>471</v>
      </c>
    </row>
    <row r="6" customFormat="false" ht="60" hidden="false" customHeight="true" outlineLevel="0" collapsed="false">
      <c r="A6" s="18" t="s">
        <v>89</v>
      </c>
      <c r="B6" s="18" t="s">
        <v>15</v>
      </c>
      <c r="C6" s="18" t="s">
        <v>444</v>
      </c>
      <c r="D6" s="18" t="s">
        <v>90</v>
      </c>
      <c r="E6" s="18" t="s">
        <v>7</v>
      </c>
      <c r="F6" s="18"/>
      <c r="G6" s="18" t="s">
        <v>91</v>
      </c>
      <c r="H6" s="18" t="s">
        <v>471</v>
      </c>
    </row>
    <row r="7" customFormat="false" ht="60" hidden="false" customHeight="true" outlineLevel="0" collapsed="false">
      <c r="A7" s="18" t="s">
        <v>93</v>
      </c>
      <c r="B7" s="18" t="s">
        <v>21</v>
      </c>
      <c r="C7" s="18" t="s">
        <v>450</v>
      </c>
      <c r="D7" s="18" t="s">
        <v>94</v>
      </c>
      <c r="E7" s="18" t="s">
        <v>7</v>
      </c>
      <c r="F7" s="18"/>
      <c r="G7" s="18" t="s">
        <v>95</v>
      </c>
      <c r="H7" s="18" t="s">
        <v>471</v>
      </c>
    </row>
    <row r="8" customFormat="false" ht="60" hidden="false" customHeight="true" outlineLevel="0" collapsed="false">
      <c r="A8" s="18" t="s">
        <v>217</v>
      </c>
      <c r="B8" s="18" t="s">
        <v>15</v>
      </c>
      <c r="C8" s="18" t="s">
        <v>472</v>
      </c>
      <c r="D8" s="18" t="s">
        <v>218</v>
      </c>
      <c r="E8" s="18" t="s">
        <v>7</v>
      </c>
      <c r="F8" s="18"/>
      <c r="G8" s="18" t="s">
        <v>219</v>
      </c>
      <c r="H8" s="18" t="s">
        <v>471</v>
      </c>
    </row>
    <row r="9" customFormat="false" ht="60" hidden="false" customHeight="true" outlineLevel="0" collapsed="false">
      <c r="A9" s="18" t="s">
        <v>97</v>
      </c>
      <c r="B9" s="18" t="s">
        <v>15</v>
      </c>
      <c r="C9" s="18" t="s">
        <v>444</v>
      </c>
      <c r="D9" s="18" t="s">
        <v>98</v>
      </c>
      <c r="E9" s="18" t="s">
        <v>7</v>
      </c>
      <c r="F9" s="18"/>
      <c r="G9" s="18" t="s">
        <v>99</v>
      </c>
      <c r="H9" s="18" t="s">
        <v>471</v>
      </c>
    </row>
    <row r="10" customFormat="false" ht="60" hidden="false" customHeight="true" outlineLevel="0" collapsed="false">
      <c r="A10" s="18" t="s">
        <v>101</v>
      </c>
      <c r="B10" s="18" t="s">
        <v>15</v>
      </c>
      <c r="C10" s="18" t="s">
        <v>444</v>
      </c>
      <c r="D10" s="18" t="s">
        <v>102</v>
      </c>
      <c r="E10" s="18" t="s">
        <v>7</v>
      </c>
      <c r="F10" s="18"/>
      <c r="G10" s="18" t="s">
        <v>104</v>
      </c>
      <c r="H10" s="18" t="s">
        <v>471</v>
      </c>
    </row>
    <row r="11" customFormat="false" ht="60" hidden="false" customHeight="true" outlineLevel="0" collapsed="false">
      <c r="A11" s="18" t="s">
        <v>287</v>
      </c>
      <c r="B11" s="18" t="s">
        <v>15</v>
      </c>
      <c r="C11" s="18" t="s">
        <v>472</v>
      </c>
      <c r="D11" s="18" t="s">
        <v>288</v>
      </c>
      <c r="E11" s="18" t="s">
        <v>7</v>
      </c>
      <c r="F11" s="18"/>
      <c r="G11" s="18" t="s">
        <v>289</v>
      </c>
      <c r="H11" s="18" t="s">
        <v>471</v>
      </c>
    </row>
    <row r="12" customFormat="false" ht="60" hidden="false" customHeight="true" outlineLevel="0" collapsed="false">
      <c r="A12" s="18" t="s">
        <v>213</v>
      </c>
      <c r="B12" s="18" t="s">
        <v>15</v>
      </c>
      <c r="C12" s="18" t="s">
        <v>472</v>
      </c>
      <c r="D12" s="18" t="s">
        <v>214</v>
      </c>
      <c r="E12" s="18" t="s">
        <v>7</v>
      </c>
      <c r="F12" s="18"/>
      <c r="G12" s="18" t="s">
        <v>215</v>
      </c>
      <c r="H12" s="18" t="s">
        <v>471</v>
      </c>
    </row>
    <row r="13" customFormat="false" ht="60" hidden="false" customHeight="true" outlineLevel="0" collapsed="false">
      <c r="A13" s="18" t="s">
        <v>274</v>
      </c>
      <c r="B13" s="18" t="s">
        <v>15</v>
      </c>
      <c r="C13" s="18" t="s">
        <v>472</v>
      </c>
      <c r="D13" s="18" t="s">
        <v>275</v>
      </c>
      <c r="E13" s="18" t="s">
        <v>7</v>
      </c>
      <c r="F13" s="18"/>
      <c r="G13" s="18" t="s">
        <v>276</v>
      </c>
      <c r="H13" s="18" t="s">
        <v>471</v>
      </c>
    </row>
    <row r="14" customFormat="false" ht="60" hidden="false" customHeight="true" outlineLevel="0" collapsed="false">
      <c r="A14" s="18" t="s">
        <v>106</v>
      </c>
      <c r="B14" s="18" t="s">
        <v>15</v>
      </c>
      <c r="C14" s="18" t="s">
        <v>444</v>
      </c>
      <c r="D14" s="18" t="s">
        <v>107</v>
      </c>
      <c r="E14" s="18" t="s">
        <v>7</v>
      </c>
      <c r="F14" s="18"/>
      <c r="G14" s="18" t="s">
        <v>108</v>
      </c>
      <c r="H14" s="18" t="s">
        <v>471</v>
      </c>
    </row>
    <row r="15" customFormat="false" ht="60" hidden="false" customHeight="true" outlineLevel="0" collapsed="false">
      <c r="A15" s="18" t="s">
        <v>109</v>
      </c>
      <c r="B15" s="18" t="s">
        <v>15</v>
      </c>
      <c r="C15" s="18" t="s">
        <v>444</v>
      </c>
      <c r="D15" s="18" t="s">
        <v>110</v>
      </c>
      <c r="E15" s="18" t="s">
        <v>7</v>
      </c>
      <c r="F15" s="18"/>
      <c r="G15" s="18" t="s">
        <v>111</v>
      </c>
      <c r="H15" s="18" t="s">
        <v>471</v>
      </c>
    </row>
    <row r="16" customFormat="false" ht="60" hidden="false" customHeight="true" outlineLevel="0" collapsed="false">
      <c r="A16" s="18" t="s">
        <v>112</v>
      </c>
      <c r="B16" s="18" t="s">
        <v>15</v>
      </c>
      <c r="C16" s="18" t="s">
        <v>444</v>
      </c>
      <c r="D16" s="18" t="s">
        <v>113</v>
      </c>
      <c r="E16" s="18" t="s">
        <v>7</v>
      </c>
      <c r="F16" s="18"/>
      <c r="G16" s="18" t="s">
        <v>114</v>
      </c>
      <c r="H16" s="18" t="s">
        <v>471</v>
      </c>
    </row>
    <row r="17" customFormat="false" ht="60" hidden="false" customHeight="true" outlineLevel="0" collapsed="false">
      <c r="A17" s="18" t="s">
        <v>116</v>
      </c>
      <c r="B17" s="18" t="s">
        <v>15</v>
      </c>
      <c r="C17" s="18" t="s">
        <v>444</v>
      </c>
      <c r="D17" s="18" t="s">
        <v>117</v>
      </c>
      <c r="E17" s="18" t="s">
        <v>7</v>
      </c>
      <c r="F17" s="18"/>
      <c r="G17" s="18" t="s">
        <v>118</v>
      </c>
      <c r="H17" s="18" t="s">
        <v>471</v>
      </c>
    </row>
    <row r="18" customFormat="false" ht="60" hidden="false" customHeight="true" outlineLevel="0" collapsed="false">
      <c r="A18" s="18" t="s">
        <v>473</v>
      </c>
      <c r="B18" s="18" t="s">
        <v>15</v>
      </c>
      <c r="C18" s="18" t="s">
        <v>444</v>
      </c>
      <c r="D18" s="18" t="s">
        <v>474</v>
      </c>
      <c r="E18" s="18" t="s">
        <v>475</v>
      </c>
      <c r="F18" s="18"/>
      <c r="G18" s="18"/>
      <c r="H18" s="18" t="s">
        <v>476</v>
      </c>
    </row>
    <row r="19" customFormat="false" ht="60" hidden="false" customHeight="true" outlineLevel="0" collapsed="false">
      <c r="A19" s="18" t="s">
        <v>282</v>
      </c>
      <c r="B19" s="18" t="s">
        <v>15</v>
      </c>
      <c r="C19" s="18" t="s">
        <v>472</v>
      </c>
      <c r="D19" s="18" t="s">
        <v>283</v>
      </c>
      <c r="E19" s="18" t="s">
        <v>7</v>
      </c>
      <c r="F19" s="18"/>
      <c r="G19" s="18" t="s">
        <v>285</v>
      </c>
      <c r="H19" s="18" t="s">
        <v>471</v>
      </c>
    </row>
    <row r="20" customFormat="false" ht="60" hidden="false" customHeight="true" outlineLevel="0" collapsed="false">
      <c r="A20" s="18" t="s">
        <v>145</v>
      </c>
      <c r="B20" s="18" t="s">
        <v>27</v>
      </c>
      <c r="C20" s="18" t="s">
        <v>456</v>
      </c>
      <c r="D20" s="18" t="s">
        <v>146</v>
      </c>
      <c r="E20" s="18" t="s">
        <v>7</v>
      </c>
      <c r="F20" s="18"/>
      <c r="G20" s="18" t="s">
        <v>148</v>
      </c>
      <c r="H20" s="18" t="s">
        <v>471</v>
      </c>
    </row>
    <row r="21" customFormat="false" ht="60" hidden="false" customHeight="true" outlineLevel="0" collapsed="false">
      <c r="A21" s="18" t="s">
        <v>477</v>
      </c>
      <c r="B21" s="18" t="s">
        <v>478</v>
      </c>
      <c r="C21" s="18" t="s">
        <v>479</v>
      </c>
      <c r="D21" s="18" t="s">
        <v>480</v>
      </c>
      <c r="E21" s="18" t="s">
        <v>481</v>
      </c>
      <c r="F21" s="18" t="s">
        <v>482</v>
      </c>
      <c r="G21" s="18" t="s">
        <v>483</v>
      </c>
      <c r="H21" s="18" t="s">
        <v>484</v>
      </c>
    </row>
    <row r="22" customFormat="false" ht="60" hidden="false" customHeight="true" outlineLevel="0" collapsed="false">
      <c r="A22" s="18" t="s">
        <v>485</v>
      </c>
      <c r="B22" s="18" t="s">
        <v>478</v>
      </c>
      <c r="C22" s="18" t="s">
        <v>479</v>
      </c>
      <c r="D22" s="18" t="s">
        <v>486</v>
      </c>
      <c r="E22" s="18" t="s">
        <v>481</v>
      </c>
      <c r="F22" s="18" t="s">
        <v>487</v>
      </c>
      <c r="G22" s="18" t="s">
        <v>488</v>
      </c>
      <c r="H22" s="18" t="s">
        <v>484</v>
      </c>
    </row>
    <row r="23" customFormat="false" ht="60" hidden="false" customHeight="true" outlineLevel="0" collapsed="false">
      <c r="A23" s="18" t="s">
        <v>489</v>
      </c>
      <c r="B23" s="18" t="s">
        <v>478</v>
      </c>
      <c r="C23" s="18" t="s">
        <v>479</v>
      </c>
      <c r="D23" s="18" t="s">
        <v>490</v>
      </c>
      <c r="E23" s="18" t="s">
        <v>481</v>
      </c>
      <c r="F23" s="18" t="s">
        <v>491</v>
      </c>
      <c r="G23" s="18" t="s">
        <v>492</v>
      </c>
      <c r="H23" s="18" t="s">
        <v>484</v>
      </c>
    </row>
    <row r="24" customFormat="false" ht="60" hidden="false" customHeight="true" outlineLevel="0" collapsed="false">
      <c r="A24" s="18" t="s">
        <v>493</v>
      </c>
      <c r="B24" s="18" t="s">
        <v>478</v>
      </c>
      <c r="C24" s="18" t="s">
        <v>479</v>
      </c>
      <c r="D24" s="18" t="s">
        <v>494</v>
      </c>
      <c r="E24" s="18" t="s">
        <v>481</v>
      </c>
      <c r="F24" s="18" t="s">
        <v>495</v>
      </c>
      <c r="G24" s="18" t="s">
        <v>496</v>
      </c>
      <c r="H24" s="18" t="s">
        <v>484</v>
      </c>
    </row>
    <row r="25" customFormat="false" ht="60" hidden="false" customHeight="true" outlineLevel="0" collapsed="false">
      <c r="A25" s="18" t="s">
        <v>497</v>
      </c>
      <c r="B25" s="18" t="s">
        <v>478</v>
      </c>
      <c r="C25" s="18" t="s">
        <v>479</v>
      </c>
      <c r="D25" s="18" t="s">
        <v>498</v>
      </c>
      <c r="E25" s="18" t="s">
        <v>481</v>
      </c>
      <c r="F25" s="18" t="s">
        <v>499</v>
      </c>
      <c r="G25" s="18" t="s">
        <v>500</v>
      </c>
      <c r="H25" s="18" t="s">
        <v>484</v>
      </c>
    </row>
    <row r="26" customFormat="false" ht="60" hidden="false" customHeight="true" outlineLevel="0" collapsed="false">
      <c r="A26" s="18" t="s">
        <v>501</v>
      </c>
      <c r="B26" s="18" t="s">
        <v>478</v>
      </c>
      <c r="C26" s="18" t="s">
        <v>479</v>
      </c>
      <c r="D26" s="18" t="s">
        <v>502</v>
      </c>
      <c r="E26" s="18" t="s">
        <v>481</v>
      </c>
      <c r="F26" s="18" t="s">
        <v>503</v>
      </c>
      <c r="G26" s="18" t="s">
        <v>504</v>
      </c>
      <c r="H26" s="18" t="s">
        <v>484</v>
      </c>
    </row>
    <row r="27" customFormat="false" ht="60" hidden="false" customHeight="true" outlineLevel="0" collapsed="false">
      <c r="A27" s="18" t="s">
        <v>505</v>
      </c>
      <c r="B27" s="18" t="s">
        <v>478</v>
      </c>
      <c r="C27" s="18" t="s">
        <v>479</v>
      </c>
      <c r="D27" s="18" t="s">
        <v>506</v>
      </c>
      <c r="E27" s="18" t="s">
        <v>481</v>
      </c>
      <c r="F27" s="18" t="s">
        <v>507</v>
      </c>
      <c r="G27" s="18" t="s">
        <v>508</v>
      </c>
      <c r="H27" s="18" t="s">
        <v>484</v>
      </c>
    </row>
    <row r="28" customFormat="false" ht="60" hidden="false" customHeight="true" outlineLevel="0" collapsed="false">
      <c r="A28" s="18" t="s">
        <v>509</v>
      </c>
      <c r="B28" s="18" t="s">
        <v>478</v>
      </c>
      <c r="C28" s="18" t="s">
        <v>479</v>
      </c>
      <c r="D28" s="18" t="s">
        <v>510</v>
      </c>
      <c r="E28" s="18" t="s">
        <v>481</v>
      </c>
      <c r="F28" s="18" t="s">
        <v>511</v>
      </c>
      <c r="G28" s="18" t="s">
        <v>512</v>
      </c>
      <c r="H28" s="18" t="s">
        <v>484</v>
      </c>
    </row>
    <row r="29" customFormat="false" ht="60" hidden="false" customHeight="true" outlineLevel="0" collapsed="false">
      <c r="A29" s="18" t="s">
        <v>513</v>
      </c>
      <c r="B29" s="18" t="s">
        <v>33</v>
      </c>
      <c r="C29" s="18" t="s">
        <v>514</v>
      </c>
      <c r="D29" s="18" t="s">
        <v>515</v>
      </c>
      <c r="E29" s="18" t="s">
        <v>481</v>
      </c>
      <c r="F29" s="18" t="s">
        <v>516</v>
      </c>
      <c r="G29" s="18" t="s">
        <v>517</v>
      </c>
      <c r="H29" s="18" t="s">
        <v>484</v>
      </c>
    </row>
    <row r="30" customFormat="false" ht="60" hidden="false" customHeight="true" outlineLevel="0" collapsed="false">
      <c r="A30" s="18" t="s">
        <v>518</v>
      </c>
      <c r="B30" s="18" t="s">
        <v>33</v>
      </c>
      <c r="C30" s="18" t="s">
        <v>514</v>
      </c>
      <c r="D30" s="18" t="s">
        <v>519</v>
      </c>
      <c r="E30" s="18" t="s">
        <v>481</v>
      </c>
      <c r="F30" s="18" t="s">
        <v>520</v>
      </c>
      <c r="G30" s="18" t="s">
        <v>521</v>
      </c>
      <c r="H30" s="18" t="s">
        <v>484</v>
      </c>
    </row>
    <row r="31" customFormat="false" ht="60" hidden="false" customHeight="true" outlineLevel="0" collapsed="false">
      <c r="A31" s="18" t="s">
        <v>522</v>
      </c>
      <c r="B31" s="18" t="s">
        <v>33</v>
      </c>
      <c r="C31" s="18" t="s">
        <v>514</v>
      </c>
      <c r="D31" s="18" t="s">
        <v>523</v>
      </c>
      <c r="E31" s="18" t="s">
        <v>481</v>
      </c>
      <c r="F31" s="18" t="s">
        <v>524</v>
      </c>
      <c r="G31" s="18" t="s">
        <v>525</v>
      </c>
      <c r="H31" s="18" t="s">
        <v>484</v>
      </c>
    </row>
    <row r="32" customFormat="false" ht="60" hidden="false" customHeight="true" outlineLevel="0" collapsed="false">
      <c r="A32" s="18" t="s">
        <v>526</v>
      </c>
      <c r="B32" s="18" t="s">
        <v>17</v>
      </c>
      <c r="C32" s="18" t="s">
        <v>446</v>
      </c>
      <c r="D32" s="18" t="s">
        <v>527</v>
      </c>
      <c r="E32" s="18" t="s">
        <v>481</v>
      </c>
      <c r="F32" s="18" t="s">
        <v>528</v>
      </c>
      <c r="G32" s="18" t="s">
        <v>529</v>
      </c>
      <c r="H32" s="18" t="s">
        <v>484</v>
      </c>
    </row>
    <row r="33" customFormat="false" ht="60" hidden="false" customHeight="true" outlineLevel="0" collapsed="false">
      <c r="A33" s="18" t="s">
        <v>530</v>
      </c>
      <c r="B33" s="18" t="s">
        <v>33</v>
      </c>
      <c r="C33" s="18" t="s">
        <v>514</v>
      </c>
      <c r="D33" s="18" t="s">
        <v>531</v>
      </c>
      <c r="E33" s="18" t="s">
        <v>481</v>
      </c>
      <c r="F33" s="18" t="s">
        <v>532</v>
      </c>
      <c r="G33" s="18" t="s">
        <v>533</v>
      </c>
      <c r="H33" s="18" t="s">
        <v>484</v>
      </c>
    </row>
    <row r="34" customFormat="false" ht="60" hidden="false" customHeight="true" outlineLevel="0" collapsed="false">
      <c r="A34" s="18" t="s">
        <v>534</v>
      </c>
      <c r="B34" s="18" t="s">
        <v>33</v>
      </c>
      <c r="C34" s="18" t="s">
        <v>514</v>
      </c>
      <c r="D34" s="18" t="s">
        <v>535</v>
      </c>
      <c r="E34" s="18" t="s">
        <v>481</v>
      </c>
      <c r="F34" s="18" t="s">
        <v>536</v>
      </c>
      <c r="G34" s="18" t="s">
        <v>537</v>
      </c>
      <c r="H34" s="18" t="s">
        <v>484</v>
      </c>
    </row>
    <row r="35" customFormat="false" ht="60" hidden="false" customHeight="true" outlineLevel="0" collapsed="false">
      <c r="A35" s="18" t="s">
        <v>538</v>
      </c>
      <c r="B35" s="18" t="s">
        <v>33</v>
      </c>
      <c r="C35" s="18" t="s">
        <v>514</v>
      </c>
      <c r="D35" s="18" t="s">
        <v>539</v>
      </c>
      <c r="E35" s="18" t="s">
        <v>481</v>
      </c>
      <c r="F35" s="18" t="s">
        <v>540</v>
      </c>
      <c r="G35" s="18" t="s">
        <v>541</v>
      </c>
      <c r="H35" s="18" t="s">
        <v>484</v>
      </c>
    </row>
    <row r="36" customFormat="false" ht="60" hidden="false" customHeight="true" outlineLevel="0" collapsed="false">
      <c r="A36" s="18" t="s">
        <v>542</v>
      </c>
      <c r="B36" s="18" t="s">
        <v>33</v>
      </c>
      <c r="C36" s="18" t="s">
        <v>514</v>
      </c>
      <c r="D36" s="18" t="s">
        <v>543</v>
      </c>
      <c r="E36" s="18" t="s">
        <v>481</v>
      </c>
      <c r="F36" s="18" t="s">
        <v>544</v>
      </c>
      <c r="G36" s="18" t="s">
        <v>545</v>
      </c>
      <c r="H36" s="18" t="s">
        <v>484</v>
      </c>
    </row>
    <row r="37" customFormat="false" ht="60" hidden="false" customHeight="true" outlineLevel="0" collapsed="false">
      <c r="A37" s="18" t="s">
        <v>546</v>
      </c>
      <c r="B37" s="18" t="s">
        <v>33</v>
      </c>
      <c r="C37" s="18" t="s">
        <v>461</v>
      </c>
      <c r="D37" s="18" t="s">
        <v>547</v>
      </c>
      <c r="E37" s="18" t="s">
        <v>481</v>
      </c>
      <c r="F37" s="18" t="s">
        <v>548</v>
      </c>
      <c r="G37" s="18" t="s">
        <v>549</v>
      </c>
      <c r="H37" s="18" t="s">
        <v>484</v>
      </c>
    </row>
    <row r="38" customFormat="false" ht="60" hidden="false" customHeight="true" outlineLevel="0" collapsed="false">
      <c r="A38" s="18" t="s">
        <v>550</v>
      </c>
      <c r="B38" s="18" t="s">
        <v>33</v>
      </c>
      <c r="C38" s="18" t="s">
        <v>461</v>
      </c>
      <c r="D38" s="18" t="s">
        <v>551</v>
      </c>
      <c r="E38" s="18" t="s">
        <v>481</v>
      </c>
      <c r="F38" s="18" t="s">
        <v>552</v>
      </c>
      <c r="G38" s="18" t="s">
        <v>553</v>
      </c>
      <c r="H38" s="18" t="s">
        <v>484</v>
      </c>
    </row>
    <row r="39" customFormat="false" ht="60" hidden="false" customHeight="true" outlineLevel="0" collapsed="false">
      <c r="A39" s="18" t="s">
        <v>554</v>
      </c>
      <c r="B39" s="18" t="s">
        <v>33</v>
      </c>
      <c r="C39" s="18" t="s">
        <v>461</v>
      </c>
      <c r="D39" s="18" t="s">
        <v>555</v>
      </c>
      <c r="E39" s="18" t="s">
        <v>481</v>
      </c>
      <c r="F39" s="18" t="s">
        <v>556</v>
      </c>
      <c r="G39" s="18" t="s">
        <v>557</v>
      </c>
      <c r="H39" s="18" t="s">
        <v>484</v>
      </c>
    </row>
    <row r="40" customFormat="false" ht="60" hidden="false" customHeight="true" outlineLevel="0" collapsed="false">
      <c r="A40" s="18" t="s">
        <v>558</v>
      </c>
      <c r="B40" s="18" t="s">
        <v>33</v>
      </c>
      <c r="C40" s="18" t="s">
        <v>461</v>
      </c>
      <c r="D40" s="18" t="s">
        <v>559</v>
      </c>
      <c r="E40" s="18" t="s">
        <v>481</v>
      </c>
      <c r="F40" s="18" t="s">
        <v>560</v>
      </c>
      <c r="G40" s="18" t="s">
        <v>561</v>
      </c>
      <c r="H40" s="18" t="s">
        <v>484</v>
      </c>
    </row>
    <row r="41" customFormat="false" ht="60" hidden="false" customHeight="true" outlineLevel="0" collapsed="false">
      <c r="A41" s="18" t="s">
        <v>562</v>
      </c>
      <c r="B41" s="18" t="s">
        <v>33</v>
      </c>
      <c r="C41" s="18" t="s">
        <v>461</v>
      </c>
      <c r="D41" s="18" t="s">
        <v>563</v>
      </c>
      <c r="E41" s="18" t="s">
        <v>481</v>
      </c>
      <c r="F41" s="18" t="s">
        <v>564</v>
      </c>
      <c r="G41" s="18" t="s">
        <v>565</v>
      </c>
      <c r="H41" s="18" t="s">
        <v>484</v>
      </c>
    </row>
    <row r="42" customFormat="false" ht="60" hidden="false" customHeight="true" outlineLevel="0" collapsed="false">
      <c r="A42" s="18" t="s">
        <v>566</v>
      </c>
      <c r="B42" s="18" t="s">
        <v>17</v>
      </c>
      <c r="C42" s="18" t="s">
        <v>446</v>
      </c>
      <c r="D42" s="18" t="s">
        <v>567</v>
      </c>
      <c r="E42" s="18" t="s">
        <v>481</v>
      </c>
      <c r="F42" s="18" t="s">
        <v>568</v>
      </c>
      <c r="G42" s="18" t="s">
        <v>569</v>
      </c>
      <c r="H42" s="18" t="s">
        <v>484</v>
      </c>
    </row>
    <row r="43" customFormat="false" ht="60" hidden="false" customHeight="true" outlineLevel="0" collapsed="false">
      <c r="A43" s="18" t="s">
        <v>570</v>
      </c>
      <c r="B43" s="18" t="s">
        <v>33</v>
      </c>
      <c r="C43" s="18" t="s">
        <v>461</v>
      </c>
      <c r="D43" s="18" t="s">
        <v>571</v>
      </c>
      <c r="E43" s="18" t="s">
        <v>481</v>
      </c>
      <c r="F43" s="18" t="s">
        <v>572</v>
      </c>
      <c r="G43" s="18" t="s">
        <v>573</v>
      </c>
      <c r="H43" s="18" t="s">
        <v>484</v>
      </c>
    </row>
    <row r="44" customFormat="false" ht="60" hidden="false" customHeight="true" outlineLevel="0" collapsed="false">
      <c r="A44" s="18" t="s">
        <v>574</v>
      </c>
      <c r="B44" s="18" t="s">
        <v>33</v>
      </c>
      <c r="C44" s="18" t="s">
        <v>461</v>
      </c>
      <c r="D44" s="18" t="s">
        <v>575</v>
      </c>
      <c r="E44" s="18" t="s">
        <v>481</v>
      </c>
      <c r="F44" s="18" t="s">
        <v>576</v>
      </c>
      <c r="G44" s="18" t="s">
        <v>577</v>
      </c>
      <c r="H44" s="18" t="s">
        <v>484</v>
      </c>
    </row>
    <row r="45" customFormat="false" ht="60" hidden="false" customHeight="true" outlineLevel="0" collapsed="false">
      <c r="A45" s="18" t="s">
        <v>578</v>
      </c>
      <c r="B45" s="18" t="s">
        <v>19</v>
      </c>
      <c r="C45" s="18" t="s">
        <v>448</v>
      </c>
      <c r="D45" s="18" t="s">
        <v>579</v>
      </c>
      <c r="E45" s="18" t="s">
        <v>481</v>
      </c>
      <c r="F45" s="18" t="s">
        <v>580</v>
      </c>
      <c r="G45" s="18" t="s">
        <v>581</v>
      </c>
      <c r="H45" s="18" t="s">
        <v>484</v>
      </c>
    </row>
    <row r="46" customFormat="false" ht="60" hidden="false" customHeight="true" outlineLevel="0" collapsed="false">
      <c r="A46" s="18" t="s">
        <v>582</v>
      </c>
      <c r="B46" s="18" t="s">
        <v>33</v>
      </c>
      <c r="C46" s="18" t="s">
        <v>461</v>
      </c>
      <c r="D46" s="18" t="s">
        <v>583</v>
      </c>
      <c r="E46" s="18" t="s">
        <v>481</v>
      </c>
      <c r="F46" s="18" t="s">
        <v>584</v>
      </c>
      <c r="G46" s="18" t="s">
        <v>585</v>
      </c>
      <c r="H46" s="18" t="s">
        <v>484</v>
      </c>
    </row>
    <row r="47" customFormat="false" ht="60" hidden="false" customHeight="true" outlineLevel="0" collapsed="false">
      <c r="A47" s="18" t="s">
        <v>586</v>
      </c>
      <c r="B47" s="18" t="s">
        <v>30</v>
      </c>
      <c r="C47" s="18" t="s">
        <v>459</v>
      </c>
      <c r="D47" s="18" t="s">
        <v>587</v>
      </c>
      <c r="E47" s="18" t="s">
        <v>481</v>
      </c>
      <c r="F47" s="18" t="s">
        <v>588</v>
      </c>
      <c r="G47" s="18" t="s">
        <v>589</v>
      </c>
      <c r="H47" s="18" t="s">
        <v>484</v>
      </c>
    </row>
    <row r="48" customFormat="false" ht="60" hidden="false" customHeight="true" outlineLevel="0" collapsed="false">
      <c r="A48" s="18" t="s">
        <v>590</v>
      </c>
      <c r="B48" s="18" t="s">
        <v>33</v>
      </c>
      <c r="C48" s="18" t="s">
        <v>461</v>
      </c>
      <c r="D48" s="18" t="s">
        <v>591</v>
      </c>
      <c r="E48" s="18" t="s">
        <v>481</v>
      </c>
      <c r="F48" s="18" t="s">
        <v>592</v>
      </c>
      <c r="G48" s="18" t="s">
        <v>593</v>
      </c>
      <c r="H48" s="18" t="s">
        <v>484</v>
      </c>
    </row>
    <row r="49" customFormat="false" ht="60" hidden="false" customHeight="true" outlineLevel="0" collapsed="false">
      <c r="A49" s="18" t="s">
        <v>594</v>
      </c>
      <c r="B49" s="18" t="s">
        <v>17</v>
      </c>
      <c r="C49" s="18" t="s">
        <v>446</v>
      </c>
      <c r="D49" s="18" t="s">
        <v>595</v>
      </c>
      <c r="E49" s="18" t="s">
        <v>481</v>
      </c>
      <c r="F49" s="18" t="s">
        <v>596</v>
      </c>
      <c r="G49" s="18" t="s">
        <v>597</v>
      </c>
      <c r="H49" s="18" t="s">
        <v>484</v>
      </c>
    </row>
    <row r="50" customFormat="false" ht="60" hidden="false" customHeight="true" outlineLevel="0" collapsed="false">
      <c r="A50" s="18" t="s">
        <v>598</v>
      </c>
      <c r="B50" s="18" t="s">
        <v>17</v>
      </c>
      <c r="C50" s="18" t="s">
        <v>446</v>
      </c>
      <c r="D50" s="18" t="s">
        <v>599</v>
      </c>
      <c r="E50" s="18" t="s">
        <v>481</v>
      </c>
      <c r="F50" s="18" t="s">
        <v>600</v>
      </c>
      <c r="G50" s="18" t="s">
        <v>601</v>
      </c>
      <c r="H50" s="18" t="s">
        <v>484</v>
      </c>
    </row>
    <row r="51" customFormat="false" ht="60" hidden="false" customHeight="true" outlineLevel="0" collapsed="false">
      <c r="A51" s="18" t="s">
        <v>602</v>
      </c>
      <c r="B51" s="18" t="s">
        <v>17</v>
      </c>
      <c r="C51" s="18" t="s">
        <v>446</v>
      </c>
      <c r="D51" s="18" t="s">
        <v>603</v>
      </c>
      <c r="E51" s="18" t="s">
        <v>481</v>
      </c>
      <c r="F51" s="18" t="s">
        <v>604</v>
      </c>
      <c r="G51" s="18" t="s">
        <v>605</v>
      </c>
      <c r="H51" s="18" t="s">
        <v>484</v>
      </c>
    </row>
    <row r="52" customFormat="false" ht="60" hidden="false" customHeight="true" outlineLevel="0" collapsed="false">
      <c r="A52" s="18" t="s">
        <v>606</v>
      </c>
      <c r="B52" s="18" t="s">
        <v>17</v>
      </c>
      <c r="C52" s="18" t="s">
        <v>446</v>
      </c>
      <c r="D52" s="18" t="s">
        <v>607</v>
      </c>
      <c r="E52" s="18" t="s">
        <v>481</v>
      </c>
      <c r="F52" s="18" t="s">
        <v>608</v>
      </c>
      <c r="G52" s="18" t="s">
        <v>609</v>
      </c>
      <c r="H52" s="18" t="s">
        <v>484</v>
      </c>
    </row>
    <row r="53" customFormat="false" ht="60" hidden="false" customHeight="true" outlineLevel="0" collapsed="false">
      <c r="A53" s="18" t="s">
        <v>610</v>
      </c>
      <c r="B53" s="18" t="s">
        <v>17</v>
      </c>
      <c r="C53" s="18" t="s">
        <v>446</v>
      </c>
      <c r="D53" s="18" t="s">
        <v>611</v>
      </c>
      <c r="E53" s="18" t="s">
        <v>481</v>
      </c>
      <c r="F53" s="18" t="s">
        <v>612</v>
      </c>
      <c r="G53" s="18" t="s">
        <v>613</v>
      </c>
      <c r="H53" s="18" t="s">
        <v>484</v>
      </c>
    </row>
    <row r="54" customFormat="false" ht="60" hidden="false" customHeight="true" outlineLevel="0" collapsed="false">
      <c r="A54" s="18" t="s">
        <v>614</v>
      </c>
      <c r="B54" s="18" t="s">
        <v>17</v>
      </c>
      <c r="C54" s="18" t="s">
        <v>446</v>
      </c>
      <c r="D54" s="18" t="s">
        <v>615</v>
      </c>
      <c r="E54" s="18" t="s">
        <v>481</v>
      </c>
      <c r="F54" s="18" t="s">
        <v>616</v>
      </c>
      <c r="G54" s="18" t="s">
        <v>617</v>
      </c>
      <c r="H54" s="18" t="s">
        <v>484</v>
      </c>
    </row>
    <row r="55" customFormat="false" ht="60" hidden="false" customHeight="true" outlineLevel="0" collapsed="false">
      <c r="A55" s="18" t="s">
        <v>618</v>
      </c>
      <c r="B55" s="18" t="s">
        <v>478</v>
      </c>
      <c r="C55" s="18" t="s">
        <v>479</v>
      </c>
      <c r="D55" s="18" t="s">
        <v>619</v>
      </c>
      <c r="E55" s="18" t="s">
        <v>481</v>
      </c>
      <c r="F55" s="18" t="s">
        <v>620</v>
      </c>
      <c r="G55" s="18" t="s">
        <v>621</v>
      </c>
      <c r="H55" s="18" t="s">
        <v>484</v>
      </c>
    </row>
    <row r="56" customFormat="false" ht="60" hidden="false" customHeight="true" outlineLevel="0" collapsed="false">
      <c r="A56" s="18" t="s">
        <v>291</v>
      </c>
      <c r="B56" s="18" t="s">
        <v>34</v>
      </c>
      <c r="C56" s="18" t="s">
        <v>462</v>
      </c>
      <c r="D56" s="18" t="s">
        <v>292</v>
      </c>
      <c r="E56" s="18" t="s">
        <v>7</v>
      </c>
      <c r="F56" s="18"/>
      <c r="G56" s="18" t="s">
        <v>293</v>
      </c>
      <c r="H56" s="18" t="s">
        <v>471</v>
      </c>
    </row>
    <row r="57" customFormat="false" ht="60" hidden="false" customHeight="true" outlineLevel="0" collapsed="false">
      <c r="A57" s="18" t="s">
        <v>622</v>
      </c>
      <c r="B57" s="18" t="s">
        <v>17</v>
      </c>
      <c r="C57" s="18" t="s">
        <v>446</v>
      </c>
      <c r="D57" s="18" t="s">
        <v>623</v>
      </c>
      <c r="E57" s="18" t="s">
        <v>481</v>
      </c>
      <c r="F57" s="18" t="s">
        <v>624</v>
      </c>
      <c r="G57" s="18" t="s">
        <v>625</v>
      </c>
      <c r="H57" s="18" t="s">
        <v>484</v>
      </c>
    </row>
    <row r="58" customFormat="false" ht="60" hidden="false" customHeight="true" outlineLevel="0" collapsed="false">
      <c r="A58" s="18" t="s">
        <v>626</v>
      </c>
      <c r="B58" s="18" t="s">
        <v>17</v>
      </c>
      <c r="C58" s="18" t="s">
        <v>446</v>
      </c>
      <c r="D58" s="18" t="s">
        <v>627</v>
      </c>
      <c r="E58" s="18" t="s">
        <v>481</v>
      </c>
      <c r="F58" s="18" t="s">
        <v>628</v>
      </c>
      <c r="G58" s="18" t="s">
        <v>629</v>
      </c>
      <c r="H58" s="18" t="s">
        <v>484</v>
      </c>
    </row>
    <row r="59" customFormat="false" ht="60" hidden="false" customHeight="true" outlineLevel="0" collapsed="false">
      <c r="A59" s="18" t="s">
        <v>150</v>
      </c>
      <c r="B59" s="18" t="s">
        <v>34</v>
      </c>
      <c r="C59" s="18" t="s">
        <v>462</v>
      </c>
      <c r="D59" s="18" t="s">
        <v>151</v>
      </c>
      <c r="E59" s="18" t="s">
        <v>7</v>
      </c>
      <c r="F59" s="18"/>
      <c r="G59" s="18" t="s">
        <v>152</v>
      </c>
      <c r="H59" s="18" t="s">
        <v>471</v>
      </c>
    </row>
    <row r="60" customFormat="false" ht="60" hidden="false" customHeight="true" outlineLevel="0" collapsed="false">
      <c r="A60" s="18" t="s">
        <v>630</v>
      </c>
      <c r="B60" s="18" t="s">
        <v>33</v>
      </c>
      <c r="C60" s="18" t="s">
        <v>461</v>
      </c>
      <c r="D60" s="18" t="s">
        <v>631</v>
      </c>
      <c r="E60" s="18" t="s">
        <v>481</v>
      </c>
      <c r="F60" s="18" t="s">
        <v>632</v>
      </c>
      <c r="G60" s="18" t="s">
        <v>633</v>
      </c>
      <c r="H60" s="18" t="s">
        <v>484</v>
      </c>
    </row>
    <row r="61" customFormat="false" ht="60" hidden="false" customHeight="true" outlineLevel="0" collapsed="false">
      <c r="A61" s="18" t="s">
        <v>154</v>
      </c>
      <c r="B61" s="18" t="s">
        <v>34</v>
      </c>
      <c r="C61" s="18" t="s">
        <v>462</v>
      </c>
      <c r="D61" s="18" t="s">
        <v>155</v>
      </c>
      <c r="E61" s="18" t="s">
        <v>7</v>
      </c>
      <c r="F61" s="18"/>
      <c r="G61" s="18" t="s">
        <v>157</v>
      </c>
      <c r="H61" s="18" t="s">
        <v>471</v>
      </c>
    </row>
    <row r="62" customFormat="false" ht="60" hidden="false" customHeight="true" outlineLevel="0" collapsed="false">
      <c r="A62" s="18" t="s">
        <v>175</v>
      </c>
      <c r="B62" s="18" t="s">
        <v>34</v>
      </c>
      <c r="C62" s="18" t="s">
        <v>462</v>
      </c>
      <c r="D62" s="18" t="s">
        <v>176</v>
      </c>
      <c r="E62" s="18" t="s">
        <v>7</v>
      </c>
      <c r="F62" s="18"/>
      <c r="G62" s="18" t="s">
        <v>177</v>
      </c>
      <c r="H62" s="18" t="s">
        <v>471</v>
      </c>
    </row>
    <row r="63" customFormat="false" ht="60" hidden="false" customHeight="true" outlineLevel="0" collapsed="false">
      <c r="A63" s="18" t="s">
        <v>634</v>
      </c>
      <c r="B63" s="18" t="s">
        <v>33</v>
      </c>
      <c r="C63" s="18" t="s">
        <v>461</v>
      </c>
      <c r="D63" s="18" t="s">
        <v>635</v>
      </c>
      <c r="E63" s="18" t="s">
        <v>481</v>
      </c>
      <c r="F63" s="18" t="s">
        <v>636</v>
      </c>
      <c r="G63" s="18" t="s">
        <v>637</v>
      </c>
      <c r="H63" s="18" t="s">
        <v>484</v>
      </c>
    </row>
    <row r="64" customFormat="false" ht="60" hidden="false" customHeight="true" outlineLevel="0" collapsed="false">
      <c r="A64" s="18" t="s">
        <v>209</v>
      </c>
      <c r="B64" s="18" t="s">
        <v>34</v>
      </c>
      <c r="C64" s="18" t="s">
        <v>462</v>
      </c>
      <c r="D64" s="18" t="s">
        <v>210</v>
      </c>
      <c r="E64" s="18" t="s">
        <v>7</v>
      </c>
      <c r="F64" s="18"/>
      <c r="G64" s="18" t="s">
        <v>211</v>
      </c>
      <c r="H64" s="18" t="s">
        <v>471</v>
      </c>
    </row>
    <row r="65" customFormat="false" ht="60" hidden="false" customHeight="true" outlineLevel="0" collapsed="false">
      <c r="A65" s="18" t="s">
        <v>638</v>
      </c>
      <c r="B65" s="18" t="s">
        <v>33</v>
      </c>
      <c r="C65" s="18" t="s">
        <v>461</v>
      </c>
      <c r="D65" s="18" t="s">
        <v>639</v>
      </c>
      <c r="E65" s="18" t="s">
        <v>481</v>
      </c>
      <c r="F65" s="18" t="s">
        <v>640</v>
      </c>
      <c r="G65" s="18" t="s">
        <v>641</v>
      </c>
      <c r="H65" s="18" t="s">
        <v>484</v>
      </c>
    </row>
    <row r="66" customFormat="false" ht="60" hidden="false" customHeight="true" outlineLevel="0" collapsed="false">
      <c r="A66" s="18" t="s">
        <v>642</v>
      </c>
      <c r="B66" s="18" t="s">
        <v>33</v>
      </c>
      <c r="C66" s="18" t="s">
        <v>461</v>
      </c>
      <c r="D66" s="18" t="s">
        <v>643</v>
      </c>
      <c r="E66" s="18" t="s">
        <v>481</v>
      </c>
      <c r="F66" s="18" t="s">
        <v>644</v>
      </c>
      <c r="G66" s="18" t="s">
        <v>645</v>
      </c>
      <c r="H66" s="18" t="s">
        <v>484</v>
      </c>
    </row>
    <row r="67" customFormat="false" ht="60" hidden="false" customHeight="true" outlineLevel="0" collapsed="false">
      <c r="A67" s="18" t="s">
        <v>646</v>
      </c>
      <c r="B67" s="18" t="s">
        <v>33</v>
      </c>
      <c r="C67" s="18" t="s">
        <v>461</v>
      </c>
      <c r="D67" s="18" t="s">
        <v>647</v>
      </c>
      <c r="E67" s="18" t="s">
        <v>481</v>
      </c>
      <c r="F67" s="18" t="s">
        <v>648</v>
      </c>
      <c r="G67" s="18" t="s">
        <v>649</v>
      </c>
      <c r="H67" s="18" t="s">
        <v>484</v>
      </c>
    </row>
    <row r="68" customFormat="false" ht="60" hidden="false" customHeight="true" outlineLevel="0" collapsed="false">
      <c r="A68" s="18" t="s">
        <v>650</v>
      </c>
      <c r="B68" s="18" t="s">
        <v>17</v>
      </c>
      <c r="C68" s="18" t="s">
        <v>446</v>
      </c>
      <c r="D68" s="18" t="s">
        <v>651</v>
      </c>
      <c r="E68" s="18" t="s">
        <v>481</v>
      </c>
      <c r="F68" s="18" t="s">
        <v>652</v>
      </c>
      <c r="G68" s="18" t="s">
        <v>653</v>
      </c>
      <c r="H68" s="18" t="s">
        <v>484</v>
      </c>
    </row>
    <row r="69" customFormat="false" ht="60" hidden="false" customHeight="true" outlineLevel="0" collapsed="false">
      <c r="A69" s="18" t="s">
        <v>654</v>
      </c>
      <c r="B69" s="18" t="s">
        <v>33</v>
      </c>
      <c r="C69" s="18" t="s">
        <v>461</v>
      </c>
      <c r="D69" s="18" t="s">
        <v>655</v>
      </c>
      <c r="E69" s="18" t="s">
        <v>481</v>
      </c>
      <c r="F69" s="18" t="s">
        <v>656</v>
      </c>
      <c r="G69" s="18" t="s">
        <v>657</v>
      </c>
      <c r="H69" s="18" t="s">
        <v>484</v>
      </c>
    </row>
    <row r="70" customFormat="false" ht="60" hidden="false" customHeight="true" outlineLevel="0" collapsed="false">
      <c r="A70" s="18" t="s">
        <v>658</v>
      </c>
      <c r="B70" s="18" t="s">
        <v>17</v>
      </c>
      <c r="C70" s="18" t="s">
        <v>446</v>
      </c>
      <c r="D70" s="18" t="s">
        <v>659</v>
      </c>
      <c r="E70" s="18" t="s">
        <v>481</v>
      </c>
      <c r="F70" s="18" t="s">
        <v>660</v>
      </c>
      <c r="G70" s="18" t="s">
        <v>661</v>
      </c>
      <c r="H70" s="18" t="s">
        <v>484</v>
      </c>
    </row>
    <row r="71" customFormat="false" ht="60" hidden="false" customHeight="true" outlineLevel="0" collapsed="false">
      <c r="A71" s="18" t="s">
        <v>662</v>
      </c>
      <c r="B71" s="18" t="s">
        <v>17</v>
      </c>
      <c r="C71" s="18" t="s">
        <v>446</v>
      </c>
      <c r="D71" s="18" t="s">
        <v>663</v>
      </c>
      <c r="E71" s="18" t="s">
        <v>481</v>
      </c>
      <c r="F71" s="18" t="s">
        <v>664</v>
      </c>
      <c r="G71" s="18" t="s">
        <v>665</v>
      </c>
      <c r="H71" s="18" t="s">
        <v>484</v>
      </c>
    </row>
    <row r="72" customFormat="false" ht="60" hidden="false" customHeight="true" outlineLevel="0" collapsed="false">
      <c r="A72" s="18" t="s">
        <v>666</v>
      </c>
      <c r="B72" s="18" t="s">
        <v>17</v>
      </c>
      <c r="C72" s="18" t="s">
        <v>446</v>
      </c>
      <c r="D72" s="18" t="s">
        <v>667</v>
      </c>
      <c r="E72" s="18" t="s">
        <v>481</v>
      </c>
      <c r="F72" s="18" t="s">
        <v>668</v>
      </c>
      <c r="G72" s="18" t="s">
        <v>665</v>
      </c>
      <c r="H72" s="18" t="s">
        <v>484</v>
      </c>
    </row>
    <row r="73" customFormat="false" ht="60" hidden="false" customHeight="true" outlineLevel="0" collapsed="false">
      <c r="A73" s="18" t="s">
        <v>669</v>
      </c>
      <c r="B73" s="18" t="s">
        <v>17</v>
      </c>
      <c r="C73" s="18" t="s">
        <v>446</v>
      </c>
      <c r="D73" s="18" t="s">
        <v>670</v>
      </c>
      <c r="E73" s="18" t="s">
        <v>481</v>
      </c>
      <c r="F73" s="18" t="s">
        <v>671</v>
      </c>
      <c r="G73" s="18" t="s">
        <v>672</v>
      </c>
      <c r="H73" s="18" t="s">
        <v>484</v>
      </c>
    </row>
    <row r="74" customFormat="false" ht="60" hidden="false" customHeight="true" outlineLevel="0" collapsed="false">
      <c r="A74" s="18" t="s">
        <v>673</v>
      </c>
      <c r="B74" s="18" t="s">
        <v>17</v>
      </c>
      <c r="C74" s="18" t="s">
        <v>446</v>
      </c>
      <c r="D74" s="18" t="s">
        <v>674</v>
      </c>
      <c r="E74" s="18" t="s">
        <v>481</v>
      </c>
      <c r="F74" s="18" t="s">
        <v>675</v>
      </c>
      <c r="G74" s="18" t="s">
        <v>672</v>
      </c>
      <c r="H74" s="18" t="s">
        <v>484</v>
      </c>
    </row>
    <row r="75" customFormat="false" ht="60" hidden="false" customHeight="true" outlineLevel="0" collapsed="false">
      <c r="A75" s="18" t="s">
        <v>120</v>
      </c>
      <c r="B75" s="18" t="s">
        <v>34</v>
      </c>
      <c r="C75" s="18" t="s">
        <v>462</v>
      </c>
      <c r="D75" s="18" t="s">
        <v>121</v>
      </c>
      <c r="E75" s="18" t="s">
        <v>7</v>
      </c>
      <c r="F75" s="18"/>
      <c r="G75" s="18" t="s">
        <v>122</v>
      </c>
      <c r="H75" s="18" t="s">
        <v>471</v>
      </c>
    </row>
    <row r="76" customFormat="false" ht="60" hidden="false" customHeight="true" outlineLevel="0" collapsed="false">
      <c r="A76" s="18" t="s">
        <v>124</v>
      </c>
      <c r="B76" s="18" t="s">
        <v>34</v>
      </c>
      <c r="C76" s="18" t="s">
        <v>462</v>
      </c>
      <c r="D76" s="18" t="s">
        <v>125</v>
      </c>
      <c r="E76" s="18" t="s">
        <v>7</v>
      </c>
      <c r="F76" s="18"/>
      <c r="G76" s="18" t="s">
        <v>126</v>
      </c>
      <c r="H76" s="18" t="s">
        <v>471</v>
      </c>
    </row>
    <row r="77" customFormat="false" ht="60" hidden="false" customHeight="true" outlineLevel="0" collapsed="false">
      <c r="A77" s="18" t="s">
        <v>308</v>
      </c>
      <c r="B77" s="18" t="s">
        <v>24</v>
      </c>
      <c r="C77" s="18" t="s">
        <v>453</v>
      </c>
      <c r="D77" s="18" t="s">
        <v>309</v>
      </c>
      <c r="E77" s="18" t="s">
        <v>7</v>
      </c>
      <c r="F77" s="18"/>
      <c r="G77" s="18" t="s">
        <v>310</v>
      </c>
      <c r="H77" s="18" t="s">
        <v>471</v>
      </c>
    </row>
    <row r="78" customFormat="false" ht="60" hidden="false" customHeight="true" outlineLevel="0" collapsed="false">
      <c r="A78" s="18" t="s">
        <v>311</v>
      </c>
      <c r="B78" s="18" t="s">
        <v>24</v>
      </c>
      <c r="C78" s="18" t="s">
        <v>453</v>
      </c>
      <c r="D78" s="18" t="s">
        <v>312</v>
      </c>
      <c r="E78" s="18" t="s">
        <v>7</v>
      </c>
      <c r="F78" s="18"/>
      <c r="G78" s="18" t="s">
        <v>313</v>
      </c>
      <c r="H78" s="18" t="s">
        <v>471</v>
      </c>
    </row>
    <row r="79" customFormat="false" ht="60" hidden="false" customHeight="true" outlineLevel="0" collapsed="false">
      <c r="A79" s="18" t="s">
        <v>315</v>
      </c>
      <c r="B79" s="18" t="s">
        <v>24</v>
      </c>
      <c r="C79" s="18" t="s">
        <v>453</v>
      </c>
      <c r="D79" s="18" t="s">
        <v>316</v>
      </c>
      <c r="E79" s="18" t="s">
        <v>7</v>
      </c>
      <c r="F79" s="18"/>
      <c r="G79" s="18" t="s">
        <v>317</v>
      </c>
      <c r="H79" s="18" t="s">
        <v>471</v>
      </c>
    </row>
    <row r="80" customFormat="false" ht="60" hidden="false" customHeight="true" outlineLevel="0" collapsed="false">
      <c r="A80" s="18" t="s">
        <v>319</v>
      </c>
      <c r="B80" s="18" t="s">
        <v>24</v>
      </c>
      <c r="C80" s="18" t="s">
        <v>676</v>
      </c>
      <c r="D80" s="18" t="s">
        <v>320</v>
      </c>
      <c r="E80" s="18" t="s">
        <v>7</v>
      </c>
      <c r="F80" s="18"/>
      <c r="G80" s="18" t="s">
        <v>323</v>
      </c>
      <c r="H80" s="18" t="s">
        <v>471</v>
      </c>
    </row>
    <row r="81" customFormat="false" ht="60" hidden="false" customHeight="true" outlineLevel="0" collapsed="false">
      <c r="A81" s="18" t="s">
        <v>325</v>
      </c>
      <c r="B81" s="18" t="s">
        <v>24</v>
      </c>
      <c r="C81" s="18" t="s">
        <v>676</v>
      </c>
      <c r="D81" s="18" t="s">
        <v>326</v>
      </c>
      <c r="E81" s="18" t="s">
        <v>7</v>
      </c>
      <c r="F81" s="18"/>
      <c r="G81" s="18" t="s">
        <v>323</v>
      </c>
      <c r="H81" s="18" t="s">
        <v>471</v>
      </c>
    </row>
    <row r="82" customFormat="false" ht="60" hidden="false" customHeight="true" outlineLevel="0" collapsed="false">
      <c r="A82" s="18" t="s">
        <v>677</v>
      </c>
      <c r="B82" s="18" t="s">
        <v>478</v>
      </c>
      <c r="C82" s="18" t="s">
        <v>479</v>
      </c>
      <c r="D82" s="18" t="s">
        <v>678</v>
      </c>
      <c r="E82" s="18" t="s">
        <v>481</v>
      </c>
      <c r="F82" s="18" t="s">
        <v>679</v>
      </c>
      <c r="G82" s="18" t="s">
        <v>680</v>
      </c>
      <c r="H82" s="18" t="s">
        <v>484</v>
      </c>
    </row>
    <row r="83" customFormat="false" ht="60" hidden="false" customHeight="true" outlineLevel="0" collapsed="false">
      <c r="A83" s="18" t="s">
        <v>681</v>
      </c>
      <c r="B83" s="18" t="s">
        <v>33</v>
      </c>
      <c r="C83" s="18" t="s">
        <v>461</v>
      </c>
      <c r="D83" s="18" t="s">
        <v>682</v>
      </c>
      <c r="E83" s="18" t="s">
        <v>481</v>
      </c>
      <c r="F83" s="18" t="s">
        <v>683</v>
      </c>
      <c r="G83" s="18" t="s">
        <v>684</v>
      </c>
      <c r="H83" s="18" t="s">
        <v>484</v>
      </c>
    </row>
    <row r="84" customFormat="false" ht="60" hidden="false" customHeight="true" outlineLevel="0" collapsed="false">
      <c r="A84" s="18" t="s">
        <v>685</v>
      </c>
      <c r="B84" s="18" t="s">
        <v>33</v>
      </c>
      <c r="C84" s="18" t="s">
        <v>461</v>
      </c>
      <c r="D84" s="18" t="s">
        <v>686</v>
      </c>
      <c r="E84" s="18" t="s">
        <v>481</v>
      </c>
      <c r="F84" s="18" t="s">
        <v>687</v>
      </c>
      <c r="G84" s="18" t="s">
        <v>688</v>
      </c>
      <c r="H84" s="18" t="s">
        <v>484</v>
      </c>
    </row>
    <row r="85" customFormat="false" ht="60" hidden="false" customHeight="true" outlineLevel="0" collapsed="false">
      <c r="A85" s="18" t="s">
        <v>353</v>
      </c>
      <c r="B85" s="18" t="s">
        <v>24</v>
      </c>
      <c r="C85" s="18" t="s">
        <v>453</v>
      </c>
      <c r="D85" s="18" t="s">
        <v>354</v>
      </c>
      <c r="E85" s="18" t="s">
        <v>7</v>
      </c>
      <c r="F85" s="18"/>
      <c r="G85" s="18" t="s">
        <v>355</v>
      </c>
      <c r="H85" s="18" t="s">
        <v>471</v>
      </c>
    </row>
    <row r="86" customFormat="false" ht="60" hidden="false" customHeight="true" outlineLevel="0" collapsed="false">
      <c r="A86" s="18" t="s">
        <v>689</v>
      </c>
      <c r="B86" s="18" t="s">
        <v>17</v>
      </c>
      <c r="C86" s="18" t="s">
        <v>446</v>
      </c>
      <c r="D86" s="18" t="s">
        <v>690</v>
      </c>
      <c r="E86" s="18" t="s">
        <v>481</v>
      </c>
      <c r="F86" s="18" t="s">
        <v>691</v>
      </c>
      <c r="G86" s="18" t="s">
        <v>692</v>
      </c>
      <c r="H86" s="18" t="s">
        <v>484</v>
      </c>
    </row>
    <row r="87" customFormat="false" ht="60" hidden="false" customHeight="true" outlineLevel="0" collapsed="false">
      <c r="A87" s="18" t="s">
        <v>693</v>
      </c>
      <c r="B87" s="18" t="s">
        <v>17</v>
      </c>
      <c r="C87" s="18" t="s">
        <v>446</v>
      </c>
      <c r="D87" s="18" t="s">
        <v>694</v>
      </c>
      <c r="E87" s="18" t="s">
        <v>481</v>
      </c>
      <c r="F87" s="18" t="s">
        <v>695</v>
      </c>
      <c r="G87" s="18" t="s">
        <v>696</v>
      </c>
      <c r="H87" s="18" t="s">
        <v>484</v>
      </c>
    </row>
    <row r="88" customFormat="false" ht="60" hidden="false" customHeight="true" outlineLevel="0" collapsed="false">
      <c r="A88" s="18" t="s">
        <v>697</v>
      </c>
      <c r="B88" s="18" t="s">
        <v>33</v>
      </c>
      <c r="C88" s="18" t="s">
        <v>461</v>
      </c>
      <c r="D88" s="18" t="s">
        <v>698</v>
      </c>
      <c r="E88" s="18" t="s">
        <v>481</v>
      </c>
      <c r="F88" s="18" t="s">
        <v>699</v>
      </c>
      <c r="G88" s="18" t="s">
        <v>700</v>
      </c>
      <c r="H88" s="18" t="s">
        <v>484</v>
      </c>
    </row>
    <row r="89" customFormat="false" ht="60" hidden="false" customHeight="true" outlineLevel="0" collapsed="false">
      <c r="A89" s="18" t="s">
        <v>701</v>
      </c>
      <c r="B89" s="18" t="s">
        <v>33</v>
      </c>
      <c r="C89" s="18" t="s">
        <v>461</v>
      </c>
      <c r="D89" s="18" t="s">
        <v>702</v>
      </c>
      <c r="E89" s="18" t="s">
        <v>481</v>
      </c>
      <c r="F89" s="18" t="s">
        <v>703</v>
      </c>
      <c r="G89" s="18" t="s">
        <v>704</v>
      </c>
      <c r="H89" s="18" t="s">
        <v>484</v>
      </c>
    </row>
    <row r="90" customFormat="false" ht="60" hidden="false" customHeight="true" outlineLevel="0" collapsed="false">
      <c r="A90" s="18" t="s">
        <v>705</v>
      </c>
      <c r="B90" s="18" t="s">
        <v>33</v>
      </c>
      <c r="C90" s="18" t="s">
        <v>461</v>
      </c>
      <c r="D90" s="18" t="s">
        <v>706</v>
      </c>
      <c r="E90" s="18" t="s">
        <v>481</v>
      </c>
      <c r="F90" s="18" t="s">
        <v>707</v>
      </c>
      <c r="G90" s="18" t="s">
        <v>708</v>
      </c>
      <c r="H90" s="18" t="s">
        <v>484</v>
      </c>
    </row>
    <row r="91" customFormat="false" ht="60" hidden="false" customHeight="true" outlineLevel="0" collapsed="false">
      <c r="A91" s="18" t="s">
        <v>709</v>
      </c>
      <c r="B91" s="18" t="s">
        <v>33</v>
      </c>
      <c r="C91" s="18" t="s">
        <v>461</v>
      </c>
      <c r="D91" s="18" t="s">
        <v>710</v>
      </c>
      <c r="E91" s="18" t="s">
        <v>481</v>
      </c>
      <c r="F91" s="18" t="s">
        <v>711</v>
      </c>
      <c r="G91" s="18" t="s">
        <v>712</v>
      </c>
      <c r="H91" s="18" t="s">
        <v>484</v>
      </c>
    </row>
    <row r="92" customFormat="false" ht="60" hidden="false" customHeight="true" outlineLevel="0" collapsed="false">
      <c r="A92" s="18" t="s">
        <v>713</v>
      </c>
      <c r="B92" s="18" t="s">
        <v>33</v>
      </c>
      <c r="C92" s="18" t="s">
        <v>461</v>
      </c>
      <c r="D92" s="18" t="s">
        <v>714</v>
      </c>
      <c r="E92" s="18" t="s">
        <v>481</v>
      </c>
      <c r="F92" s="18" t="s">
        <v>715</v>
      </c>
      <c r="G92" s="18" t="s">
        <v>716</v>
      </c>
      <c r="H92" s="18" t="s">
        <v>484</v>
      </c>
    </row>
    <row r="93" customFormat="false" ht="60" hidden="false" customHeight="true" outlineLevel="0" collapsed="false">
      <c r="A93" s="18" t="s">
        <v>717</v>
      </c>
      <c r="B93" s="18" t="s">
        <v>33</v>
      </c>
      <c r="C93" s="18" t="s">
        <v>461</v>
      </c>
      <c r="D93" s="18" t="s">
        <v>718</v>
      </c>
      <c r="E93" s="18" t="s">
        <v>481</v>
      </c>
      <c r="F93" s="18" t="s">
        <v>719</v>
      </c>
      <c r="G93" s="18" t="s">
        <v>720</v>
      </c>
      <c r="H93" s="18" t="s">
        <v>484</v>
      </c>
    </row>
    <row r="94" customFormat="false" ht="60" hidden="false" customHeight="true" outlineLevel="0" collapsed="false">
      <c r="A94" s="18" t="s">
        <v>721</v>
      </c>
      <c r="B94" s="18" t="s">
        <v>33</v>
      </c>
      <c r="C94" s="18" t="s">
        <v>461</v>
      </c>
      <c r="D94" s="18" t="s">
        <v>722</v>
      </c>
      <c r="E94" s="18" t="s">
        <v>481</v>
      </c>
      <c r="F94" s="18" t="s">
        <v>723</v>
      </c>
      <c r="G94" s="18" t="s">
        <v>724</v>
      </c>
      <c r="H94" s="18" t="s">
        <v>484</v>
      </c>
    </row>
    <row r="95" customFormat="false" ht="60" hidden="false" customHeight="true" outlineLevel="0" collapsed="false">
      <c r="A95" s="18" t="s">
        <v>725</v>
      </c>
      <c r="B95" s="18" t="s">
        <v>33</v>
      </c>
      <c r="C95" s="18" t="s">
        <v>461</v>
      </c>
      <c r="D95" s="18" t="s">
        <v>726</v>
      </c>
      <c r="E95" s="18" t="s">
        <v>481</v>
      </c>
      <c r="F95" s="18" t="s">
        <v>727</v>
      </c>
      <c r="G95" s="18" t="s">
        <v>728</v>
      </c>
      <c r="H95" s="18" t="s">
        <v>484</v>
      </c>
    </row>
    <row r="96" customFormat="false" ht="60" hidden="false" customHeight="true" outlineLevel="0" collapsed="false">
      <c r="A96" s="18" t="s">
        <v>729</v>
      </c>
      <c r="B96" s="18" t="s">
        <v>33</v>
      </c>
      <c r="C96" s="18" t="s">
        <v>461</v>
      </c>
      <c r="D96" s="18" t="s">
        <v>730</v>
      </c>
      <c r="E96" s="18" t="s">
        <v>481</v>
      </c>
      <c r="F96" s="18" t="s">
        <v>731</v>
      </c>
      <c r="G96" s="18" t="s">
        <v>732</v>
      </c>
      <c r="H96" s="18" t="s">
        <v>484</v>
      </c>
    </row>
    <row r="97" customFormat="false" ht="60" hidden="false" customHeight="true" outlineLevel="0" collapsed="false">
      <c r="A97" s="18" t="s">
        <v>733</v>
      </c>
      <c r="B97" s="18" t="s">
        <v>33</v>
      </c>
      <c r="C97" s="18" t="s">
        <v>461</v>
      </c>
      <c r="D97" s="18" t="s">
        <v>734</v>
      </c>
      <c r="E97" s="18" t="s">
        <v>481</v>
      </c>
      <c r="F97" s="18" t="s">
        <v>735</v>
      </c>
      <c r="G97" s="18" t="s">
        <v>736</v>
      </c>
      <c r="H97" s="18" t="s">
        <v>484</v>
      </c>
    </row>
    <row r="98" customFormat="false" ht="60" hidden="false" customHeight="true" outlineLevel="0" collapsed="false">
      <c r="A98" s="18" t="s">
        <v>737</v>
      </c>
      <c r="B98" s="18" t="s">
        <v>33</v>
      </c>
      <c r="C98" s="18" t="s">
        <v>461</v>
      </c>
      <c r="D98" s="18" t="s">
        <v>738</v>
      </c>
      <c r="E98" s="18" t="s">
        <v>481</v>
      </c>
      <c r="F98" s="18" t="s">
        <v>739</v>
      </c>
      <c r="G98" s="18" t="s">
        <v>740</v>
      </c>
      <c r="H98" s="18" t="s">
        <v>484</v>
      </c>
    </row>
    <row r="99" customFormat="false" ht="60" hidden="false" customHeight="true" outlineLevel="0" collapsed="false">
      <c r="A99" s="18" t="s">
        <v>741</v>
      </c>
      <c r="B99" s="18" t="s">
        <v>33</v>
      </c>
      <c r="C99" s="18" t="s">
        <v>461</v>
      </c>
      <c r="D99" s="18" t="s">
        <v>742</v>
      </c>
      <c r="E99" s="18" t="s">
        <v>481</v>
      </c>
      <c r="F99" s="18" t="s">
        <v>743</v>
      </c>
      <c r="G99" s="18" t="s">
        <v>744</v>
      </c>
      <c r="H99" s="18" t="s">
        <v>484</v>
      </c>
    </row>
    <row r="100" customFormat="false" ht="60" hidden="false" customHeight="true" outlineLevel="0" collapsed="false">
      <c r="A100" s="18" t="s">
        <v>745</v>
      </c>
      <c r="B100" s="18" t="s">
        <v>33</v>
      </c>
      <c r="C100" s="18" t="s">
        <v>461</v>
      </c>
      <c r="D100" s="18" t="s">
        <v>746</v>
      </c>
      <c r="E100" s="18" t="s">
        <v>481</v>
      </c>
      <c r="F100" s="18" t="s">
        <v>747</v>
      </c>
      <c r="G100" s="18" t="s">
        <v>748</v>
      </c>
      <c r="H100" s="18" t="s">
        <v>484</v>
      </c>
    </row>
    <row r="101" customFormat="false" ht="60" hidden="false" customHeight="true" outlineLevel="0" collapsed="false">
      <c r="A101" s="18" t="s">
        <v>749</v>
      </c>
      <c r="B101" s="18" t="s">
        <v>33</v>
      </c>
      <c r="C101" s="18" t="s">
        <v>461</v>
      </c>
      <c r="D101" s="18" t="s">
        <v>750</v>
      </c>
      <c r="E101" s="18" t="s">
        <v>481</v>
      </c>
      <c r="F101" s="18" t="s">
        <v>751</v>
      </c>
      <c r="G101" s="18"/>
      <c r="H101" s="18" t="s">
        <v>484</v>
      </c>
    </row>
    <row r="102" customFormat="false" ht="60" hidden="false" customHeight="true" outlineLevel="0" collapsed="false">
      <c r="A102" s="18" t="s">
        <v>752</v>
      </c>
      <c r="B102" s="18" t="s">
        <v>33</v>
      </c>
      <c r="C102" s="18" t="s">
        <v>461</v>
      </c>
      <c r="D102" s="18" t="s">
        <v>753</v>
      </c>
      <c r="E102" s="18" t="s">
        <v>481</v>
      </c>
      <c r="F102" s="18" t="s">
        <v>754</v>
      </c>
      <c r="G102" s="18" t="s">
        <v>755</v>
      </c>
      <c r="H102" s="18" t="s">
        <v>484</v>
      </c>
    </row>
    <row r="103" customFormat="false" ht="60" hidden="false" customHeight="true" outlineLevel="0" collapsed="false">
      <c r="A103" s="18" t="s">
        <v>756</v>
      </c>
      <c r="B103" s="18" t="s">
        <v>33</v>
      </c>
      <c r="C103" s="18" t="s">
        <v>461</v>
      </c>
      <c r="D103" s="18" t="s">
        <v>757</v>
      </c>
      <c r="E103" s="18" t="s">
        <v>481</v>
      </c>
      <c r="F103" s="18" t="s">
        <v>758</v>
      </c>
      <c r="G103" s="18" t="s">
        <v>759</v>
      </c>
      <c r="H103" s="18" t="s">
        <v>484</v>
      </c>
    </row>
    <row r="104" customFormat="false" ht="60" hidden="false" customHeight="true" outlineLevel="0" collapsed="false">
      <c r="A104" s="18" t="s">
        <v>760</v>
      </c>
      <c r="B104" s="18" t="s">
        <v>33</v>
      </c>
      <c r="C104" s="18" t="s">
        <v>461</v>
      </c>
      <c r="D104" s="18" t="s">
        <v>761</v>
      </c>
      <c r="E104" s="18" t="s">
        <v>481</v>
      </c>
      <c r="F104" s="18" t="s">
        <v>762</v>
      </c>
      <c r="G104" s="18" t="s">
        <v>763</v>
      </c>
      <c r="H104" s="18" t="s">
        <v>484</v>
      </c>
    </row>
    <row r="105" customFormat="false" ht="60" hidden="false" customHeight="true" outlineLevel="0" collapsed="false">
      <c r="A105" s="18" t="s">
        <v>764</v>
      </c>
      <c r="B105" s="18" t="s">
        <v>33</v>
      </c>
      <c r="C105" s="18" t="s">
        <v>461</v>
      </c>
      <c r="D105" s="18" t="s">
        <v>765</v>
      </c>
      <c r="E105" s="18" t="s">
        <v>481</v>
      </c>
      <c r="F105" s="18" t="s">
        <v>766</v>
      </c>
      <c r="G105" s="18" t="s">
        <v>767</v>
      </c>
      <c r="H105" s="18" t="s">
        <v>484</v>
      </c>
    </row>
    <row r="106" customFormat="false" ht="60" hidden="false" customHeight="true" outlineLevel="0" collapsed="false">
      <c r="A106" s="18" t="s">
        <v>768</v>
      </c>
      <c r="B106" s="18" t="s">
        <v>33</v>
      </c>
      <c r="C106" s="18" t="s">
        <v>461</v>
      </c>
      <c r="D106" s="18" t="s">
        <v>769</v>
      </c>
      <c r="E106" s="18" t="s">
        <v>481</v>
      </c>
      <c r="F106" s="18" t="s">
        <v>770</v>
      </c>
      <c r="G106" s="18" t="s">
        <v>771</v>
      </c>
      <c r="H106" s="18" t="s">
        <v>484</v>
      </c>
    </row>
    <row r="107" customFormat="false" ht="60" hidden="false" customHeight="true" outlineLevel="0" collapsed="false">
      <c r="A107" s="18" t="s">
        <v>772</v>
      </c>
      <c r="B107" s="18" t="s">
        <v>33</v>
      </c>
      <c r="C107" s="18" t="s">
        <v>461</v>
      </c>
      <c r="D107" s="18" t="s">
        <v>773</v>
      </c>
      <c r="E107" s="18" t="s">
        <v>481</v>
      </c>
      <c r="F107" s="18" t="s">
        <v>774</v>
      </c>
      <c r="G107" s="18" t="s">
        <v>775</v>
      </c>
      <c r="H107" s="18" t="s">
        <v>484</v>
      </c>
    </row>
    <row r="108" customFormat="false" ht="60" hidden="false" customHeight="true" outlineLevel="0" collapsed="false">
      <c r="A108" s="18" t="s">
        <v>776</v>
      </c>
      <c r="B108" s="18" t="s">
        <v>33</v>
      </c>
      <c r="C108" s="18" t="s">
        <v>461</v>
      </c>
      <c r="D108" s="18" t="s">
        <v>777</v>
      </c>
      <c r="E108" s="18" t="s">
        <v>481</v>
      </c>
      <c r="F108" s="18" t="s">
        <v>778</v>
      </c>
      <c r="G108" s="18" t="s">
        <v>779</v>
      </c>
      <c r="H108" s="18" t="s">
        <v>484</v>
      </c>
    </row>
    <row r="109" customFormat="false" ht="60" hidden="false" customHeight="true" outlineLevel="0" collapsed="false">
      <c r="A109" s="18" t="s">
        <v>780</v>
      </c>
      <c r="B109" s="18" t="s">
        <v>33</v>
      </c>
      <c r="C109" s="18" t="s">
        <v>461</v>
      </c>
      <c r="D109" s="18" t="s">
        <v>781</v>
      </c>
      <c r="E109" s="18" t="s">
        <v>481</v>
      </c>
      <c r="F109" s="18" t="s">
        <v>782</v>
      </c>
      <c r="G109" s="18" t="s">
        <v>783</v>
      </c>
      <c r="H109" s="18" t="s">
        <v>484</v>
      </c>
    </row>
    <row r="110" customFormat="false" ht="60" hidden="false" customHeight="true" outlineLevel="0" collapsed="false">
      <c r="A110" s="18" t="s">
        <v>784</v>
      </c>
      <c r="B110" s="18" t="s">
        <v>33</v>
      </c>
      <c r="C110" s="18" t="s">
        <v>461</v>
      </c>
      <c r="D110" s="18" t="s">
        <v>785</v>
      </c>
      <c r="E110" s="18" t="s">
        <v>481</v>
      </c>
      <c r="F110" s="18" t="s">
        <v>786</v>
      </c>
      <c r="G110" s="18" t="s">
        <v>787</v>
      </c>
      <c r="H110" s="18" t="s">
        <v>484</v>
      </c>
    </row>
    <row r="111" customFormat="false" ht="60" hidden="false" customHeight="true" outlineLevel="0" collapsed="false">
      <c r="A111" s="18" t="s">
        <v>788</v>
      </c>
      <c r="B111" s="18" t="s">
        <v>19</v>
      </c>
      <c r="C111" s="18" t="s">
        <v>448</v>
      </c>
      <c r="D111" s="18" t="s">
        <v>789</v>
      </c>
      <c r="E111" s="18" t="s">
        <v>481</v>
      </c>
      <c r="F111" s="18" t="s">
        <v>790</v>
      </c>
      <c r="G111" s="18" t="s">
        <v>791</v>
      </c>
      <c r="H111" s="18" t="s">
        <v>484</v>
      </c>
    </row>
    <row r="112" customFormat="false" ht="60" hidden="false" customHeight="true" outlineLevel="0" collapsed="false">
      <c r="A112" s="18" t="s">
        <v>792</v>
      </c>
      <c r="B112" s="18" t="s">
        <v>30</v>
      </c>
      <c r="C112" s="18" t="s">
        <v>459</v>
      </c>
      <c r="D112" s="18" t="s">
        <v>793</v>
      </c>
      <c r="E112" s="18" t="s">
        <v>481</v>
      </c>
      <c r="F112" s="18" t="s">
        <v>794</v>
      </c>
      <c r="G112" s="18" t="s">
        <v>795</v>
      </c>
      <c r="H112" s="18" t="s">
        <v>484</v>
      </c>
    </row>
    <row r="113" customFormat="false" ht="60" hidden="false" customHeight="true" outlineLevel="0" collapsed="false">
      <c r="A113" s="18" t="s">
        <v>796</v>
      </c>
      <c r="B113" s="18" t="s">
        <v>33</v>
      </c>
      <c r="C113" s="18" t="s">
        <v>461</v>
      </c>
      <c r="D113" s="18" t="s">
        <v>797</v>
      </c>
      <c r="E113" s="18" t="s">
        <v>481</v>
      </c>
      <c r="F113" s="18" t="s">
        <v>798</v>
      </c>
      <c r="G113" s="18" t="s">
        <v>799</v>
      </c>
      <c r="H113" s="18" t="s">
        <v>484</v>
      </c>
    </row>
    <row r="114" customFormat="false" ht="60" hidden="false" customHeight="true" outlineLevel="0" collapsed="false">
      <c r="A114" s="18" t="s">
        <v>800</v>
      </c>
      <c r="B114" s="18" t="s">
        <v>19</v>
      </c>
      <c r="C114" s="18" t="s">
        <v>448</v>
      </c>
      <c r="D114" s="18" t="s">
        <v>801</v>
      </c>
      <c r="E114" s="18" t="s">
        <v>481</v>
      </c>
      <c r="F114" s="18" t="s">
        <v>802</v>
      </c>
      <c r="G114" s="18" t="s">
        <v>803</v>
      </c>
      <c r="H114" s="18" t="s">
        <v>484</v>
      </c>
    </row>
    <row r="115" customFormat="false" ht="60" hidden="false" customHeight="true" outlineLevel="0" collapsed="false">
      <c r="A115" s="18" t="s">
        <v>804</v>
      </c>
      <c r="B115" s="18" t="s">
        <v>33</v>
      </c>
      <c r="C115" s="18" t="s">
        <v>461</v>
      </c>
      <c r="D115" s="18" t="s">
        <v>805</v>
      </c>
      <c r="E115" s="18" t="s">
        <v>481</v>
      </c>
      <c r="F115" s="18" t="s">
        <v>806</v>
      </c>
      <c r="G115" s="18" t="s">
        <v>807</v>
      </c>
      <c r="H115" s="18" t="s">
        <v>484</v>
      </c>
    </row>
    <row r="116" customFormat="false" ht="60" hidden="false" customHeight="true" outlineLevel="0" collapsed="false">
      <c r="A116" s="18" t="s">
        <v>808</v>
      </c>
      <c r="B116" s="18" t="s">
        <v>30</v>
      </c>
      <c r="C116" s="18" t="s">
        <v>459</v>
      </c>
      <c r="D116" s="18" t="s">
        <v>809</v>
      </c>
      <c r="E116" s="18" t="s">
        <v>481</v>
      </c>
      <c r="F116" s="18" t="s">
        <v>810</v>
      </c>
      <c r="G116" s="18" t="s">
        <v>811</v>
      </c>
      <c r="H116" s="18" t="s">
        <v>484</v>
      </c>
    </row>
    <row r="117" customFormat="false" ht="60" hidden="false" customHeight="true" outlineLevel="0" collapsed="false">
      <c r="A117" s="18" t="s">
        <v>812</v>
      </c>
      <c r="B117" s="18" t="s">
        <v>33</v>
      </c>
      <c r="C117" s="18" t="s">
        <v>461</v>
      </c>
      <c r="D117" s="18" t="s">
        <v>813</v>
      </c>
      <c r="E117" s="18" t="s">
        <v>481</v>
      </c>
      <c r="F117" s="18" t="s">
        <v>814</v>
      </c>
      <c r="G117" s="18" t="s">
        <v>815</v>
      </c>
      <c r="H117" s="18" t="s">
        <v>484</v>
      </c>
    </row>
    <row r="118" customFormat="false" ht="60" hidden="false" customHeight="true" outlineLevel="0" collapsed="false">
      <c r="A118" s="18" t="s">
        <v>816</v>
      </c>
      <c r="B118" s="18" t="s">
        <v>33</v>
      </c>
      <c r="C118" s="18" t="s">
        <v>461</v>
      </c>
      <c r="D118" s="18" t="s">
        <v>817</v>
      </c>
      <c r="E118" s="18" t="s">
        <v>481</v>
      </c>
      <c r="F118" s="18" t="s">
        <v>818</v>
      </c>
      <c r="G118" s="18" t="s">
        <v>819</v>
      </c>
      <c r="H118" s="18" t="s">
        <v>484</v>
      </c>
    </row>
    <row r="119" customFormat="false" ht="60" hidden="false" customHeight="true" outlineLevel="0" collapsed="false">
      <c r="A119" s="18" t="s">
        <v>820</v>
      </c>
      <c r="B119" s="18" t="s">
        <v>30</v>
      </c>
      <c r="C119" s="18" t="s">
        <v>459</v>
      </c>
      <c r="D119" s="18" t="s">
        <v>821</v>
      </c>
      <c r="E119" s="18" t="s">
        <v>481</v>
      </c>
      <c r="F119" s="18" t="s">
        <v>822</v>
      </c>
      <c r="G119" s="18" t="s">
        <v>823</v>
      </c>
      <c r="H119" s="18" t="s">
        <v>484</v>
      </c>
    </row>
    <row r="120" customFormat="false" ht="60" hidden="false" customHeight="true" outlineLevel="0" collapsed="false">
      <c r="A120" s="18" t="s">
        <v>824</v>
      </c>
      <c r="B120" s="18" t="s">
        <v>18</v>
      </c>
      <c r="C120" s="18" t="s">
        <v>447</v>
      </c>
      <c r="D120" s="18" t="s">
        <v>825</v>
      </c>
      <c r="E120" s="18" t="s">
        <v>481</v>
      </c>
      <c r="F120" s="18" t="s">
        <v>826</v>
      </c>
      <c r="G120" s="18" t="s">
        <v>827</v>
      </c>
      <c r="H120" s="18" t="s">
        <v>484</v>
      </c>
    </row>
    <row r="121" customFormat="false" ht="60" hidden="false" customHeight="true" outlineLevel="0" collapsed="false">
      <c r="A121" s="18" t="s">
        <v>828</v>
      </c>
      <c r="B121" s="18" t="s">
        <v>33</v>
      </c>
      <c r="C121" s="18" t="s">
        <v>461</v>
      </c>
      <c r="D121" s="18" t="s">
        <v>829</v>
      </c>
      <c r="E121" s="18" t="s">
        <v>481</v>
      </c>
      <c r="F121" s="18" t="s">
        <v>830</v>
      </c>
      <c r="G121" s="18" t="s">
        <v>831</v>
      </c>
      <c r="H121" s="18" t="s">
        <v>484</v>
      </c>
    </row>
    <row r="122" customFormat="false" ht="60" hidden="false" customHeight="true" outlineLevel="0" collapsed="false">
      <c r="A122" s="18" t="s">
        <v>832</v>
      </c>
      <c r="B122" s="18" t="s">
        <v>33</v>
      </c>
      <c r="C122" s="18" t="s">
        <v>461</v>
      </c>
      <c r="D122" s="18" t="s">
        <v>833</v>
      </c>
      <c r="E122" s="18" t="s">
        <v>481</v>
      </c>
      <c r="F122" s="18" t="s">
        <v>834</v>
      </c>
      <c r="G122" s="18" t="s">
        <v>835</v>
      </c>
      <c r="H122" s="18" t="s">
        <v>484</v>
      </c>
    </row>
    <row r="123" customFormat="false" ht="60" hidden="false" customHeight="true" outlineLevel="0" collapsed="false">
      <c r="A123" s="18" t="s">
        <v>836</v>
      </c>
      <c r="B123" s="18" t="s">
        <v>33</v>
      </c>
      <c r="C123" s="18" t="s">
        <v>461</v>
      </c>
      <c r="D123" s="18" t="s">
        <v>837</v>
      </c>
      <c r="E123" s="18" t="s">
        <v>481</v>
      </c>
      <c r="F123" s="18" t="s">
        <v>838</v>
      </c>
      <c r="G123" s="18" t="s">
        <v>839</v>
      </c>
      <c r="H123" s="18" t="s">
        <v>484</v>
      </c>
    </row>
    <row r="124" customFormat="false" ht="60" hidden="false" customHeight="true" outlineLevel="0" collapsed="false">
      <c r="A124" s="18" t="s">
        <v>840</v>
      </c>
      <c r="B124" s="18" t="s">
        <v>33</v>
      </c>
      <c r="C124" s="18" t="s">
        <v>461</v>
      </c>
      <c r="D124" s="18" t="s">
        <v>841</v>
      </c>
      <c r="E124" s="18" t="s">
        <v>481</v>
      </c>
      <c r="F124" s="18" t="s">
        <v>842</v>
      </c>
      <c r="G124" s="18" t="s">
        <v>843</v>
      </c>
      <c r="H124" s="18" t="s">
        <v>484</v>
      </c>
    </row>
    <row r="125" customFormat="false" ht="60" hidden="false" customHeight="true" outlineLevel="0" collapsed="false">
      <c r="A125" s="18" t="s">
        <v>844</v>
      </c>
      <c r="B125" s="18" t="s">
        <v>33</v>
      </c>
      <c r="C125" s="18" t="s">
        <v>461</v>
      </c>
      <c r="D125" s="18" t="s">
        <v>845</v>
      </c>
      <c r="E125" s="18" t="s">
        <v>481</v>
      </c>
      <c r="F125" s="18" t="s">
        <v>846</v>
      </c>
      <c r="G125" s="18" t="s">
        <v>847</v>
      </c>
      <c r="H125" s="18" t="s">
        <v>484</v>
      </c>
    </row>
    <row r="126" customFormat="false" ht="60" hidden="false" customHeight="true" outlineLevel="0" collapsed="false">
      <c r="A126" s="18" t="s">
        <v>848</v>
      </c>
      <c r="B126" s="18" t="s">
        <v>33</v>
      </c>
      <c r="C126" s="18" t="s">
        <v>461</v>
      </c>
      <c r="D126" s="18" t="s">
        <v>849</v>
      </c>
      <c r="E126" s="18" t="s">
        <v>481</v>
      </c>
      <c r="F126" s="18" t="s">
        <v>850</v>
      </c>
      <c r="G126" s="18" t="s">
        <v>851</v>
      </c>
      <c r="H126" s="18" t="s">
        <v>484</v>
      </c>
    </row>
    <row r="127" customFormat="false" ht="60" hidden="false" customHeight="true" outlineLevel="0" collapsed="false">
      <c r="A127" s="18" t="s">
        <v>852</v>
      </c>
      <c r="B127" s="18" t="s">
        <v>33</v>
      </c>
      <c r="C127" s="18" t="s">
        <v>461</v>
      </c>
      <c r="D127" s="18" t="s">
        <v>853</v>
      </c>
      <c r="E127" s="18" t="s">
        <v>481</v>
      </c>
      <c r="F127" s="18" t="s">
        <v>854</v>
      </c>
      <c r="G127" s="18" t="s">
        <v>855</v>
      </c>
      <c r="H127" s="18" t="s">
        <v>484</v>
      </c>
    </row>
    <row r="128" customFormat="false" ht="60" hidden="false" customHeight="true" outlineLevel="0" collapsed="false">
      <c r="A128" s="18" t="s">
        <v>856</v>
      </c>
      <c r="B128" s="18" t="s">
        <v>33</v>
      </c>
      <c r="C128" s="18" t="s">
        <v>461</v>
      </c>
      <c r="D128" s="18" t="s">
        <v>857</v>
      </c>
      <c r="E128" s="18" t="s">
        <v>481</v>
      </c>
      <c r="F128" s="18" t="s">
        <v>858</v>
      </c>
      <c r="G128" s="18" t="s">
        <v>859</v>
      </c>
      <c r="H128" s="18" t="s">
        <v>484</v>
      </c>
    </row>
    <row r="129" customFormat="false" ht="60" hidden="false" customHeight="true" outlineLevel="0" collapsed="false">
      <c r="A129" s="18" t="s">
        <v>860</v>
      </c>
      <c r="B129" s="18" t="s">
        <v>33</v>
      </c>
      <c r="C129" s="18" t="s">
        <v>461</v>
      </c>
      <c r="D129" s="18" t="s">
        <v>861</v>
      </c>
      <c r="E129" s="18" t="s">
        <v>481</v>
      </c>
      <c r="F129" s="18" t="s">
        <v>862</v>
      </c>
      <c r="G129" s="18" t="s">
        <v>863</v>
      </c>
      <c r="H129" s="18" t="s">
        <v>484</v>
      </c>
    </row>
    <row r="130" customFormat="false" ht="60" hidden="false" customHeight="true" outlineLevel="0" collapsed="false">
      <c r="A130" s="18" t="s">
        <v>864</v>
      </c>
      <c r="B130" s="18" t="s">
        <v>33</v>
      </c>
      <c r="C130" s="18" t="s">
        <v>461</v>
      </c>
      <c r="D130" s="18" t="s">
        <v>865</v>
      </c>
      <c r="E130" s="18" t="s">
        <v>481</v>
      </c>
      <c r="F130" s="18" t="s">
        <v>866</v>
      </c>
      <c r="G130" s="18" t="s">
        <v>867</v>
      </c>
      <c r="H130" s="18" t="s">
        <v>484</v>
      </c>
    </row>
    <row r="131" customFormat="false" ht="60" hidden="false" customHeight="true" outlineLevel="0" collapsed="false">
      <c r="A131" s="18" t="s">
        <v>868</v>
      </c>
      <c r="B131" s="18" t="s">
        <v>33</v>
      </c>
      <c r="C131" s="18" t="s">
        <v>461</v>
      </c>
      <c r="D131" s="18" t="s">
        <v>869</v>
      </c>
      <c r="E131" s="18" t="s">
        <v>481</v>
      </c>
      <c r="F131" s="18" t="s">
        <v>870</v>
      </c>
      <c r="G131" s="18" t="s">
        <v>871</v>
      </c>
      <c r="H131" s="18" t="s">
        <v>484</v>
      </c>
    </row>
    <row r="132" customFormat="false" ht="60" hidden="false" customHeight="true" outlineLevel="0" collapsed="false">
      <c r="A132" s="18" t="s">
        <v>872</v>
      </c>
      <c r="B132" s="18" t="s">
        <v>33</v>
      </c>
      <c r="C132" s="18" t="s">
        <v>461</v>
      </c>
      <c r="D132" s="18" t="s">
        <v>873</v>
      </c>
      <c r="E132" s="18" t="s">
        <v>481</v>
      </c>
      <c r="F132" s="18" t="s">
        <v>874</v>
      </c>
      <c r="G132" s="18" t="s">
        <v>875</v>
      </c>
      <c r="H132" s="18" t="s">
        <v>484</v>
      </c>
    </row>
    <row r="133" customFormat="false" ht="60" hidden="false" customHeight="true" outlineLevel="0" collapsed="false">
      <c r="A133" s="18" t="s">
        <v>170</v>
      </c>
      <c r="B133" s="18" t="s">
        <v>34</v>
      </c>
      <c r="C133" s="18" t="s">
        <v>462</v>
      </c>
      <c r="D133" s="18" t="s">
        <v>171</v>
      </c>
      <c r="E133" s="18" t="s">
        <v>7</v>
      </c>
      <c r="F133" s="18"/>
      <c r="G133" s="18" t="s">
        <v>173</v>
      </c>
      <c r="H133" s="18" t="s">
        <v>471</v>
      </c>
    </row>
    <row r="134" customFormat="false" ht="60" hidden="false" customHeight="true" outlineLevel="0" collapsed="false">
      <c r="A134" s="18" t="s">
        <v>876</v>
      </c>
      <c r="B134" s="18" t="s">
        <v>33</v>
      </c>
      <c r="C134" s="18" t="s">
        <v>461</v>
      </c>
      <c r="D134" s="18" t="s">
        <v>877</v>
      </c>
      <c r="E134" s="18" t="s">
        <v>481</v>
      </c>
      <c r="F134" s="18" t="s">
        <v>878</v>
      </c>
      <c r="G134" s="18" t="s">
        <v>879</v>
      </c>
      <c r="H134" s="18" t="s">
        <v>484</v>
      </c>
    </row>
    <row r="135" customFormat="false" ht="60" hidden="false" customHeight="true" outlineLevel="0" collapsed="false">
      <c r="A135" s="18" t="s">
        <v>136</v>
      </c>
      <c r="B135" s="18" t="s">
        <v>34</v>
      </c>
      <c r="C135" s="18" t="s">
        <v>462</v>
      </c>
      <c r="D135" s="18" t="s">
        <v>137</v>
      </c>
      <c r="E135" s="18" t="s">
        <v>7</v>
      </c>
      <c r="F135" s="18"/>
      <c r="G135" s="18" t="s">
        <v>139</v>
      </c>
      <c r="H135" s="18" t="s">
        <v>471</v>
      </c>
    </row>
    <row r="136" customFormat="false" ht="60" hidden="false" customHeight="true" outlineLevel="0" collapsed="false">
      <c r="A136" s="18" t="s">
        <v>880</v>
      </c>
      <c r="B136" s="18" t="s">
        <v>33</v>
      </c>
      <c r="C136" s="18" t="s">
        <v>461</v>
      </c>
      <c r="D136" s="18" t="s">
        <v>881</v>
      </c>
      <c r="E136" s="18" t="s">
        <v>481</v>
      </c>
      <c r="F136" s="18" t="s">
        <v>882</v>
      </c>
      <c r="G136" s="18" t="s">
        <v>883</v>
      </c>
      <c r="H136" s="18" t="s">
        <v>484</v>
      </c>
    </row>
    <row r="137" customFormat="false" ht="60" hidden="false" customHeight="true" outlineLevel="0" collapsed="false">
      <c r="A137" s="18" t="s">
        <v>179</v>
      </c>
      <c r="B137" s="18" t="s">
        <v>34</v>
      </c>
      <c r="C137" s="18" t="s">
        <v>462</v>
      </c>
      <c r="D137" s="18" t="s">
        <v>180</v>
      </c>
      <c r="E137" s="18" t="s">
        <v>7</v>
      </c>
      <c r="F137" s="18"/>
      <c r="G137" s="18" t="s">
        <v>181</v>
      </c>
      <c r="H137" s="18" t="s">
        <v>471</v>
      </c>
    </row>
    <row r="138" customFormat="false" ht="60" hidden="false" customHeight="true" outlineLevel="0" collapsed="false">
      <c r="A138" s="18" t="s">
        <v>884</v>
      </c>
      <c r="B138" s="18" t="s">
        <v>33</v>
      </c>
      <c r="C138" s="18" t="s">
        <v>461</v>
      </c>
      <c r="D138" s="18" t="s">
        <v>885</v>
      </c>
      <c r="E138" s="18" t="s">
        <v>481</v>
      </c>
      <c r="F138" s="18" t="s">
        <v>886</v>
      </c>
      <c r="G138" s="18" t="s">
        <v>887</v>
      </c>
      <c r="H138" s="18" t="s">
        <v>484</v>
      </c>
    </row>
    <row r="139" customFormat="false" ht="60" hidden="false" customHeight="true" outlineLevel="0" collapsed="false">
      <c r="A139" s="18" t="s">
        <v>141</v>
      </c>
      <c r="B139" s="18" t="s">
        <v>34</v>
      </c>
      <c r="C139" s="18" t="s">
        <v>462</v>
      </c>
      <c r="D139" s="18" t="s">
        <v>142</v>
      </c>
      <c r="E139" s="18" t="s">
        <v>7</v>
      </c>
      <c r="F139" s="18"/>
      <c r="G139" s="18" t="s">
        <v>143</v>
      </c>
      <c r="H139" s="18" t="s">
        <v>471</v>
      </c>
    </row>
    <row r="140" customFormat="false" ht="60" hidden="false" customHeight="true" outlineLevel="0" collapsed="false">
      <c r="A140" s="18" t="s">
        <v>888</v>
      </c>
      <c r="B140" s="18" t="s">
        <v>33</v>
      </c>
      <c r="C140" s="18" t="s">
        <v>461</v>
      </c>
      <c r="D140" s="18" t="s">
        <v>881</v>
      </c>
      <c r="E140" s="18" t="s">
        <v>481</v>
      </c>
      <c r="F140" s="18" t="s">
        <v>889</v>
      </c>
      <c r="G140" s="18"/>
      <c r="H140" s="18" t="s">
        <v>484</v>
      </c>
    </row>
    <row r="141" customFormat="false" ht="60" hidden="false" customHeight="true" outlineLevel="0" collapsed="false">
      <c r="A141" s="18" t="s">
        <v>183</v>
      </c>
      <c r="B141" s="18" t="s">
        <v>34</v>
      </c>
      <c r="C141" s="18" t="s">
        <v>462</v>
      </c>
      <c r="D141" s="18" t="s">
        <v>184</v>
      </c>
      <c r="E141" s="18" t="s">
        <v>7</v>
      </c>
      <c r="F141" s="18"/>
      <c r="G141" s="18" t="s">
        <v>185</v>
      </c>
      <c r="H141" s="18" t="s">
        <v>471</v>
      </c>
    </row>
    <row r="142" customFormat="false" ht="60" hidden="false" customHeight="true" outlineLevel="0" collapsed="false">
      <c r="A142" s="18" t="s">
        <v>890</v>
      </c>
      <c r="B142" s="18" t="s">
        <v>33</v>
      </c>
      <c r="C142" s="18" t="s">
        <v>461</v>
      </c>
      <c r="D142" s="18" t="s">
        <v>891</v>
      </c>
      <c r="E142" s="18" t="s">
        <v>481</v>
      </c>
      <c r="F142" s="18" t="s">
        <v>892</v>
      </c>
      <c r="G142" s="18" t="s">
        <v>893</v>
      </c>
      <c r="H142" s="18" t="s">
        <v>484</v>
      </c>
    </row>
    <row r="143" customFormat="false" ht="60" hidden="false" customHeight="true" outlineLevel="0" collapsed="false">
      <c r="A143" s="18" t="s">
        <v>894</v>
      </c>
      <c r="B143" s="18" t="s">
        <v>33</v>
      </c>
      <c r="C143" s="18" t="s">
        <v>461</v>
      </c>
      <c r="D143" s="18" t="s">
        <v>895</v>
      </c>
      <c r="E143" s="18" t="s">
        <v>481</v>
      </c>
      <c r="F143" s="18" t="s">
        <v>896</v>
      </c>
      <c r="G143" s="18" t="s">
        <v>897</v>
      </c>
      <c r="H143" s="18" t="s">
        <v>484</v>
      </c>
    </row>
    <row r="144" customFormat="false" ht="60" hidden="false" customHeight="true" outlineLevel="0" collapsed="false">
      <c r="A144" s="18" t="s">
        <v>278</v>
      </c>
      <c r="B144" s="18" t="s">
        <v>34</v>
      </c>
      <c r="C144" s="18" t="s">
        <v>462</v>
      </c>
      <c r="D144" s="18" t="s">
        <v>279</v>
      </c>
      <c r="E144" s="18" t="s">
        <v>7</v>
      </c>
      <c r="F144" s="18"/>
      <c r="G144" s="18" t="s">
        <v>280</v>
      </c>
      <c r="H144" s="18" t="s">
        <v>471</v>
      </c>
    </row>
    <row r="145" customFormat="false" ht="60" hidden="false" customHeight="true" outlineLevel="0" collapsed="false">
      <c r="A145" s="18" t="s">
        <v>898</v>
      </c>
      <c r="B145" s="18" t="s">
        <v>33</v>
      </c>
      <c r="C145" s="18" t="s">
        <v>461</v>
      </c>
      <c r="D145" s="18" t="s">
        <v>899</v>
      </c>
      <c r="E145" s="18" t="s">
        <v>481</v>
      </c>
      <c r="F145" s="18" t="s">
        <v>900</v>
      </c>
      <c r="G145" s="18" t="s">
        <v>901</v>
      </c>
      <c r="H145" s="18" t="s">
        <v>484</v>
      </c>
    </row>
    <row r="146" customFormat="false" ht="60" hidden="false" customHeight="true" outlineLevel="0" collapsed="false">
      <c r="A146" s="18" t="s">
        <v>197</v>
      </c>
      <c r="B146" s="18" t="s">
        <v>24</v>
      </c>
      <c r="C146" s="18" t="s">
        <v>453</v>
      </c>
      <c r="D146" s="18" t="s">
        <v>198</v>
      </c>
      <c r="E146" s="18" t="s">
        <v>7</v>
      </c>
      <c r="F146" s="18"/>
      <c r="G146" s="18" t="s">
        <v>199</v>
      </c>
      <c r="H146" s="18" t="s">
        <v>471</v>
      </c>
    </row>
    <row r="147" customFormat="false" ht="60" hidden="false" customHeight="true" outlineLevel="0" collapsed="false">
      <c r="A147" s="18" t="s">
        <v>902</v>
      </c>
      <c r="B147" s="18" t="s">
        <v>33</v>
      </c>
      <c r="C147" s="18" t="s">
        <v>461</v>
      </c>
      <c r="D147" s="18" t="s">
        <v>903</v>
      </c>
      <c r="E147" s="18" t="s">
        <v>481</v>
      </c>
      <c r="F147" s="18" t="s">
        <v>904</v>
      </c>
      <c r="G147" s="18" t="s">
        <v>905</v>
      </c>
      <c r="H147" s="18" t="s">
        <v>484</v>
      </c>
    </row>
    <row r="148" customFormat="false" ht="60" hidden="false" customHeight="true" outlineLevel="0" collapsed="false">
      <c r="A148" s="18" t="s">
        <v>201</v>
      </c>
      <c r="B148" s="18" t="s">
        <v>34</v>
      </c>
      <c r="C148" s="18" t="s">
        <v>462</v>
      </c>
      <c r="D148" s="18" t="s">
        <v>202</v>
      </c>
      <c r="E148" s="18" t="s">
        <v>7</v>
      </c>
      <c r="F148" s="18"/>
      <c r="G148" s="18" t="s">
        <v>203</v>
      </c>
      <c r="H148" s="18" t="s">
        <v>471</v>
      </c>
    </row>
    <row r="149" customFormat="false" ht="60" hidden="false" customHeight="true" outlineLevel="0" collapsed="false">
      <c r="A149" s="18" t="s">
        <v>205</v>
      </c>
      <c r="B149" s="18" t="s">
        <v>24</v>
      </c>
      <c r="C149" s="18" t="s">
        <v>453</v>
      </c>
      <c r="D149" s="18" t="s">
        <v>206</v>
      </c>
      <c r="E149" s="18" t="s">
        <v>7</v>
      </c>
      <c r="F149" s="18"/>
      <c r="G149" s="18" t="s">
        <v>207</v>
      </c>
      <c r="H149" s="18" t="s">
        <v>471</v>
      </c>
    </row>
    <row r="150" customFormat="false" ht="60" hidden="false" customHeight="true" outlineLevel="0" collapsed="false">
      <c r="A150" s="18" t="s">
        <v>906</v>
      </c>
      <c r="B150" s="18" t="s">
        <v>33</v>
      </c>
      <c r="C150" s="18" t="s">
        <v>461</v>
      </c>
      <c r="D150" s="18" t="s">
        <v>907</v>
      </c>
      <c r="E150" s="18" t="s">
        <v>481</v>
      </c>
      <c r="F150" s="18" t="s">
        <v>908</v>
      </c>
      <c r="G150" s="18" t="s">
        <v>909</v>
      </c>
      <c r="H150" s="18" t="s">
        <v>484</v>
      </c>
    </row>
    <row r="151" customFormat="false" ht="60" hidden="false" customHeight="true" outlineLevel="0" collapsed="false">
      <c r="A151" s="18" t="s">
        <v>128</v>
      </c>
      <c r="B151" s="18" t="s">
        <v>34</v>
      </c>
      <c r="C151" s="18" t="s">
        <v>462</v>
      </c>
      <c r="D151" s="18" t="s">
        <v>129</v>
      </c>
      <c r="E151" s="18" t="s">
        <v>7</v>
      </c>
      <c r="F151" s="18"/>
      <c r="G151" s="18" t="s">
        <v>130</v>
      </c>
      <c r="H151" s="18" t="s">
        <v>471</v>
      </c>
    </row>
    <row r="152" customFormat="false" ht="60" hidden="false" customHeight="true" outlineLevel="0" collapsed="false">
      <c r="A152" s="18" t="s">
        <v>132</v>
      </c>
      <c r="B152" s="18" t="s">
        <v>34</v>
      </c>
      <c r="C152" s="18" t="s">
        <v>462</v>
      </c>
      <c r="D152" s="18" t="s">
        <v>133</v>
      </c>
      <c r="E152" s="18" t="s">
        <v>7</v>
      </c>
      <c r="F152" s="18"/>
      <c r="G152" s="18" t="s">
        <v>134</v>
      </c>
      <c r="H152" s="18" t="s">
        <v>471</v>
      </c>
    </row>
    <row r="153" customFormat="false" ht="60" hidden="false" customHeight="true" outlineLevel="0" collapsed="false">
      <c r="A153" s="18" t="s">
        <v>230</v>
      </c>
      <c r="B153" s="18" t="s">
        <v>34</v>
      </c>
      <c r="C153" s="18" t="s">
        <v>462</v>
      </c>
      <c r="D153" s="18" t="s">
        <v>231</v>
      </c>
      <c r="E153" s="18" t="s">
        <v>7</v>
      </c>
      <c r="F153" s="18"/>
      <c r="G153" s="18" t="s">
        <v>232</v>
      </c>
      <c r="H153" s="18" t="s">
        <v>471</v>
      </c>
    </row>
    <row r="154" customFormat="false" ht="60" hidden="false" customHeight="true" outlineLevel="0" collapsed="false">
      <c r="A154" s="18" t="s">
        <v>242</v>
      </c>
      <c r="B154" s="18" t="s">
        <v>24</v>
      </c>
      <c r="C154" s="18" t="s">
        <v>453</v>
      </c>
      <c r="D154" s="18" t="s">
        <v>243</v>
      </c>
      <c r="E154" s="18" t="s">
        <v>7</v>
      </c>
      <c r="F154" s="18"/>
      <c r="G154" s="18" t="s">
        <v>244</v>
      </c>
      <c r="H154" s="18" t="s">
        <v>471</v>
      </c>
    </row>
    <row r="155" customFormat="false" ht="60" hidden="false" customHeight="true" outlineLevel="0" collapsed="false">
      <c r="A155" s="18" t="s">
        <v>246</v>
      </c>
      <c r="B155" s="18" t="s">
        <v>34</v>
      </c>
      <c r="C155" s="18" t="s">
        <v>462</v>
      </c>
      <c r="D155" s="18" t="s">
        <v>247</v>
      </c>
      <c r="E155" s="18" t="s">
        <v>7</v>
      </c>
      <c r="F155" s="18"/>
      <c r="G155" s="18" t="s">
        <v>248</v>
      </c>
      <c r="H155" s="18" t="s">
        <v>471</v>
      </c>
    </row>
    <row r="156" customFormat="false" ht="60" hidden="false" customHeight="true" outlineLevel="0" collapsed="false">
      <c r="A156" s="18" t="s">
        <v>910</v>
      </c>
      <c r="B156" s="18" t="s">
        <v>33</v>
      </c>
      <c r="C156" s="18" t="s">
        <v>461</v>
      </c>
      <c r="D156" s="18" t="s">
        <v>911</v>
      </c>
      <c r="E156" s="18" t="s">
        <v>481</v>
      </c>
      <c r="F156" s="18" t="s">
        <v>912</v>
      </c>
      <c r="G156" s="18" t="s">
        <v>913</v>
      </c>
      <c r="H156" s="18" t="s">
        <v>484</v>
      </c>
    </row>
    <row r="157" customFormat="false" ht="60" hidden="false" customHeight="true" outlineLevel="0" collapsed="false">
      <c r="A157" s="18" t="s">
        <v>914</v>
      </c>
      <c r="B157" s="18" t="s">
        <v>33</v>
      </c>
      <c r="C157" s="18" t="s">
        <v>461</v>
      </c>
      <c r="D157" s="18" t="s">
        <v>915</v>
      </c>
      <c r="E157" s="18" t="s">
        <v>481</v>
      </c>
      <c r="F157" s="18" t="s">
        <v>916</v>
      </c>
      <c r="G157" s="18" t="s">
        <v>917</v>
      </c>
      <c r="H157" s="18" t="s">
        <v>484</v>
      </c>
    </row>
    <row r="158" customFormat="false" ht="60" hidden="false" customHeight="true" outlineLevel="0" collapsed="false">
      <c r="A158" s="18" t="s">
        <v>250</v>
      </c>
      <c r="B158" s="18" t="s">
        <v>34</v>
      </c>
      <c r="C158" s="18" t="s">
        <v>462</v>
      </c>
      <c r="D158" s="18" t="s">
        <v>251</v>
      </c>
      <c r="E158" s="18" t="s">
        <v>7</v>
      </c>
      <c r="F158" s="18"/>
      <c r="G158" s="18" t="s">
        <v>252</v>
      </c>
      <c r="H158" s="18" t="s">
        <v>471</v>
      </c>
    </row>
    <row r="159" customFormat="false" ht="60" hidden="false" customHeight="true" outlineLevel="0" collapsed="false">
      <c r="A159" s="18" t="s">
        <v>254</v>
      </c>
      <c r="B159" s="18" t="s">
        <v>34</v>
      </c>
      <c r="C159" s="18" t="s">
        <v>462</v>
      </c>
      <c r="D159" s="18" t="s">
        <v>255</v>
      </c>
      <c r="E159" s="18" t="s">
        <v>7</v>
      </c>
      <c r="F159" s="18"/>
      <c r="G159" s="18" t="s">
        <v>256</v>
      </c>
      <c r="H159" s="18" t="s">
        <v>471</v>
      </c>
    </row>
    <row r="160" customFormat="false" ht="60" hidden="false" customHeight="true" outlineLevel="0" collapsed="false">
      <c r="A160" s="18" t="s">
        <v>258</v>
      </c>
      <c r="B160" s="18" t="s">
        <v>24</v>
      </c>
      <c r="C160" s="18" t="s">
        <v>453</v>
      </c>
      <c r="D160" s="18" t="s">
        <v>259</v>
      </c>
      <c r="E160" s="18" t="s">
        <v>7</v>
      </c>
      <c r="F160" s="18"/>
      <c r="G160" s="18" t="s">
        <v>260</v>
      </c>
      <c r="H160" s="18" t="s">
        <v>471</v>
      </c>
    </row>
    <row r="161" customFormat="false" ht="60" hidden="false" customHeight="true" outlineLevel="0" collapsed="false">
      <c r="A161" s="18" t="s">
        <v>262</v>
      </c>
      <c r="B161" s="18" t="s">
        <v>34</v>
      </c>
      <c r="C161" s="18" t="s">
        <v>462</v>
      </c>
      <c r="D161" s="18" t="s">
        <v>263</v>
      </c>
      <c r="E161" s="18" t="s">
        <v>7</v>
      </c>
      <c r="F161" s="18"/>
      <c r="G161" s="18" t="s">
        <v>264</v>
      </c>
      <c r="H161" s="18" t="s">
        <v>471</v>
      </c>
    </row>
    <row r="162" customFormat="false" ht="60" hidden="false" customHeight="true" outlineLevel="0" collapsed="false">
      <c r="A162" s="18" t="s">
        <v>266</v>
      </c>
      <c r="B162" s="18" t="s">
        <v>24</v>
      </c>
      <c r="C162" s="18" t="s">
        <v>453</v>
      </c>
      <c r="D162" s="18" t="s">
        <v>267</v>
      </c>
      <c r="E162" s="18" t="s">
        <v>7</v>
      </c>
      <c r="F162" s="18"/>
      <c r="G162" s="18" t="s">
        <v>268</v>
      </c>
      <c r="H162" s="18" t="s">
        <v>471</v>
      </c>
    </row>
    <row r="163" customFormat="false" ht="60" hidden="false" customHeight="true" outlineLevel="0" collapsed="false">
      <c r="A163" s="18" t="s">
        <v>270</v>
      </c>
      <c r="B163" s="18" t="s">
        <v>34</v>
      </c>
      <c r="C163" s="18" t="s">
        <v>462</v>
      </c>
      <c r="D163" s="18" t="s">
        <v>271</v>
      </c>
      <c r="E163" s="18" t="s">
        <v>7</v>
      </c>
      <c r="F163" s="18"/>
      <c r="G163" s="18" t="s">
        <v>272</v>
      </c>
      <c r="H163" s="18" t="s">
        <v>471</v>
      </c>
    </row>
    <row r="164" customFormat="false" ht="60" hidden="false" customHeight="true" outlineLevel="0" collapsed="false">
      <c r="A164" s="18" t="s">
        <v>221</v>
      </c>
      <c r="B164" s="18" t="s">
        <v>34</v>
      </c>
      <c r="C164" s="18" t="s">
        <v>462</v>
      </c>
      <c r="D164" s="18" t="s">
        <v>222</v>
      </c>
      <c r="E164" s="18" t="s">
        <v>7</v>
      </c>
      <c r="F164" s="18"/>
      <c r="G164" s="18" t="s">
        <v>223</v>
      </c>
      <c r="H164" s="18" t="s">
        <v>471</v>
      </c>
    </row>
    <row r="165" customFormat="false" ht="60" hidden="false" customHeight="true" outlineLevel="0" collapsed="false">
      <c r="A165" s="18" t="s">
        <v>918</v>
      </c>
      <c r="B165" s="18" t="s">
        <v>33</v>
      </c>
      <c r="C165" s="18" t="s">
        <v>461</v>
      </c>
      <c r="D165" s="18" t="s">
        <v>873</v>
      </c>
      <c r="E165" s="18" t="s">
        <v>481</v>
      </c>
      <c r="F165" s="18" t="s">
        <v>919</v>
      </c>
      <c r="G165" s="18"/>
      <c r="H165" s="18" t="s">
        <v>484</v>
      </c>
    </row>
    <row r="166" customFormat="false" ht="60" hidden="false" customHeight="true" outlineLevel="0" collapsed="false">
      <c r="A166" s="18" t="s">
        <v>920</v>
      </c>
      <c r="B166" s="18" t="s">
        <v>34</v>
      </c>
      <c r="C166" s="18" t="s">
        <v>462</v>
      </c>
      <c r="D166" s="18" t="s">
        <v>171</v>
      </c>
      <c r="E166" s="18" t="s">
        <v>475</v>
      </c>
      <c r="F166" s="18"/>
      <c r="G166" s="18"/>
      <c r="H166" s="18" t="s">
        <v>921</v>
      </c>
    </row>
    <row r="167" customFormat="false" ht="60" hidden="false" customHeight="true" outlineLevel="0" collapsed="false">
      <c r="A167" s="18" t="s">
        <v>922</v>
      </c>
      <c r="B167" s="18" t="s">
        <v>33</v>
      </c>
      <c r="C167" s="18" t="s">
        <v>461</v>
      </c>
      <c r="D167" s="18" t="s">
        <v>877</v>
      </c>
      <c r="E167" s="18" t="s">
        <v>481</v>
      </c>
      <c r="F167" s="18" t="s">
        <v>923</v>
      </c>
      <c r="G167" s="18"/>
      <c r="H167" s="18" t="s">
        <v>484</v>
      </c>
    </row>
    <row r="168" customFormat="false" ht="60" hidden="false" customHeight="true" outlineLevel="0" collapsed="false">
      <c r="A168" s="18" t="s">
        <v>328</v>
      </c>
      <c r="B168" s="18" t="s">
        <v>24</v>
      </c>
      <c r="C168" s="18" t="s">
        <v>453</v>
      </c>
      <c r="D168" s="18" t="s">
        <v>329</v>
      </c>
      <c r="E168" s="18" t="s">
        <v>7</v>
      </c>
      <c r="F168" s="18"/>
      <c r="G168" s="18" t="s">
        <v>330</v>
      </c>
      <c r="H168" s="18" t="s">
        <v>471</v>
      </c>
    </row>
    <row r="169" customFormat="false" ht="60" hidden="false" customHeight="true" outlineLevel="0" collapsed="false">
      <c r="A169" s="18" t="s">
        <v>924</v>
      </c>
      <c r="B169" s="18" t="s">
        <v>33</v>
      </c>
      <c r="C169" s="18" t="s">
        <v>461</v>
      </c>
      <c r="D169" s="18" t="s">
        <v>925</v>
      </c>
      <c r="E169" s="18" t="s">
        <v>481</v>
      </c>
      <c r="F169" s="18" t="s">
        <v>926</v>
      </c>
      <c r="G169" s="18" t="s">
        <v>927</v>
      </c>
      <c r="H169" s="18" t="s">
        <v>484</v>
      </c>
    </row>
    <row r="170" customFormat="false" ht="60" hidden="false" customHeight="true" outlineLevel="0" collapsed="false">
      <c r="A170" s="18" t="s">
        <v>928</v>
      </c>
      <c r="B170" s="18" t="s">
        <v>33</v>
      </c>
      <c r="C170" s="18" t="s">
        <v>461</v>
      </c>
      <c r="D170" s="18" t="s">
        <v>929</v>
      </c>
      <c r="E170" s="18" t="s">
        <v>481</v>
      </c>
      <c r="F170" s="18" t="s">
        <v>930</v>
      </c>
      <c r="G170" s="18" t="s">
        <v>931</v>
      </c>
      <c r="H170" s="18" t="s">
        <v>484</v>
      </c>
    </row>
    <row r="171" customFormat="false" ht="60" hidden="false" customHeight="true" outlineLevel="0" collapsed="false">
      <c r="A171" s="18" t="s">
        <v>932</v>
      </c>
      <c r="B171" s="18" t="s">
        <v>33</v>
      </c>
      <c r="C171" s="18" t="s">
        <v>461</v>
      </c>
      <c r="D171" s="18" t="s">
        <v>933</v>
      </c>
      <c r="E171" s="18" t="s">
        <v>481</v>
      </c>
      <c r="F171" s="18" t="s">
        <v>934</v>
      </c>
      <c r="G171" s="18" t="s">
        <v>935</v>
      </c>
      <c r="H171" s="18" t="s">
        <v>484</v>
      </c>
    </row>
    <row r="172" customFormat="false" ht="60" hidden="false" customHeight="true" outlineLevel="0" collapsed="false">
      <c r="A172" s="18" t="s">
        <v>936</v>
      </c>
      <c r="B172" s="18" t="s">
        <v>33</v>
      </c>
      <c r="C172" s="18" t="s">
        <v>461</v>
      </c>
      <c r="D172" s="18" t="s">
        <v>937</v>
      </c>
      <c r="E172" s="18" t="s">
        <v>481</v>
      </c>
      <c r="F172" s="18" t="s">
        <v>938</v>
      </c>
      <c r="G172" s="18" t="s">
        <v>939</v>
      </c>
      <c r="H172" s="18" t="s">
        <v>484</v>
      </c>
    </row>
    <row r="173" customFormat="false" ht="60" hidden="false" customHeight="true" outlineLevel="0" collapsed="false">
      <c r="A173" s="18" t="s">
        <v>940</v>
      </c>
      <c r="B173" s="18" t="s">
        <v>33</v>
      </c>
      <c r="C173" s="18" t="s">
        <v>461</v>
      </c>
      <c r="D173" s="18" t="s">
        <v>941</v>
      </c>
      <c r="E173" s="18" t="s">
        <v>481</v>
      </c>
      <c r="F173" s="18" t="s">
        <v>942</v>
      </c>
      <c r="G173" s="18" t="s">
        <v>943</v>
      </c>
      <c r="H173" s="18" t="s">
        <v>484</v>
      </c>
    </row>
    <row r="174" customFormat="false" ht="60" hidden="false" customHeight="true" outlineLevel="0" collapsed="false">
      <c r="A174" s="18" t="s">
        <v>944</v>
      </c>
      <c r="B174" s="18" t="s">
        <v>33</v>
      </c>
      <c r="C174" s="18" t="s">
        <v>461</v>
      </c>
      <c r="D174" s="18" t="s">
        <v>945</v>
      </c>
      <c r="E174" s="18" t="s">
        <v>481</v>
      </c>
      <c r="F174" s="18" t="s">
        <v>946</v>
      </c>
      <c r="G174" s="18" t="s">
        <v>947</v>
      </c>
      <c r="H174" s="18" t="s">
        <v>484</v>
      </c>
    </row>
    <row r="175" customFormat="false" ht="60" hidden="false" customHeight="true" outlineLevel="0" collapsed="false">
      <c r="A175" s="18" t="s">
        <v>332</v>
      </c>
      <c r="B175" s="18" t="s">
        <v>24</v>
      </c>
      <c r="C175" s="18" t="s">
        <v>453</v>
      </c>
      <c r="D175" s="18" t="s">
        <v>333</v>
      </c>
      <c r="E175" s="18" t="s">
        <v>7</v>
      </c>
      <c r="F175" s="18"/>
      <c r="G175" s="18" t="s">
        <v>334</v>
      </c>
      <c r="H175" s="18" t="s">
        <v>471</v>
      </c>
    </row>
    <row r="176" customFormat="false" ht="60" hidden="false" customHeight="true" outlineLevel="0" collapsed="false">
      <c r="A176" s="18" t="s">
        <v>948</v>
      </c>
      <c r="B176" s="18" t="s">
        <v>33</v>
      </c>
      <c r="C176" s="18" t="s">
        <v>461</v>
      </c>
      <c r="D176" s="18" t="s">
        <v>941</v>
      </c>
      <c r="E176" s="18" t="s">
        <v>481</v>
      </c>
      <c r="F176" s="18" t="s">
        <v>949</v>
      </c>
      <c r="G176" s="18"/>
      <c r="H176" s="18" t="s">
        <v>484</v>
      </c>
    </row>
    <row r="177" customFormat="false" ht="60" hidden="false" customHeight="true" outlineLevel="0" collapsed="false">
      <c r="A177" s="18" t="s">
        <v>336</v>
      </c>
      <c r="B177" s="18" t="s">
        <v>24</v>
      </c>
      <c r="C177" s="18" t="s">
        <v>453</v>
      </c>
      <c r="D177" s="18" t="s">
        <v>337</v>
      </c>
      <c r="E177" s="18" t="s">
        <v>7</v>
      </c>
      <c r="F177" s="18"/>
      <c r="G177" s="18" t="s">
        <v>338</v>
      </c>
      <c r="H177" s="18" t="s">
        <v>471</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68932"/>
    <pageSetUpPr fitToPage="false"/>
  </sheetPr>
  <dimension ref="A1:F7"/>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4"/>
    <col collapsed="false" customWidth="true" hidden="false" outlineLevel="0" max="2" min="2" style="1" width="25"/>
    <col collapsed="false" customWidth="true" hidden="false" outlineLevel="0" max="3" min="3" style="1" width="95"/>
    <col collapsed="false" customWidth="true" hidden="false" outlineLevel="0" max="4" min="4" style="1" width="31"/>
    <col collapsed="false" customWidth="true" hidden="false" outlineLevel="0" max="5" min="5" style="1" width="100"/>
    <col collapsed="false" customWidth="true" hidden="false" outlineLevel="0" max="6" min="6" style="1" width="82"/>
  </cols>
  <sheetData>
    <row r="1" customFormat="false" ht="33.75" hidden="false" customHeight="true" outlineLevel="0" collapsed="false">
      <c r="A1" s="22" t="s">
        <v>950</v>
      </c>
      <c r="B1" s="22"/>
      <c r="C1" s="22"/>
      <c r="D1" s="22"/>
      <c r="E1" s="22"/>
      <c r="F1" s="22"/>
    </row>
    <row r="2" customFormat="false" ht="27.75" hidden="false" customHeight="true" outlineLevel="0" collapsed="false">
      <c r="A2" s="23" t="s">
        <v>951</v>
      </c>
      <c r="B2" s="23"/>
      <c r="C2" s="23"/>
      <c r="D2" s="23"/>
      <c r="E2" s="23"/>
      <c r="F2" s="23"/>
    </row>
    <row r="3" customFormat="false" ht="15" hidden="false" customHeight="true" outlineLevel="0" collapsed="false">
      <c r="A3" s="18"/>
      <c r="B3" s="18"/>
      <c r="C3" s="18"/>
      <c r="D3" s="18"/>
      <c r="E3" s="18"/>
      <c r="F3" s="18"/>
    </row>
    <row r="4" customFormat="false" ht="30" hidden="false" customHeight="true" outlineLevel="0" collapsed="false">
      <c r="A4" s="24" t="s">
        <v>42</v>
      </c>
      <c r="B4" s="24" t="s">
        <v>952</v>
      </c>
      <c r="C4" s="24" t="s">
        <v>953</v>
      </c>
      <c r="D4" s="24" t="s">
        <v>954</v>
      </c>
      <c r="E4" s="24" t="s">
        <v>955</v>
      </c>
      <c r="F4" s="24" t="s">
        <v>956</v>
      </c>
    </row>
    <row r="5" customFormat="false" ht="69.75" hidden="false" customHeight="true" outlineLevel="0" collapsed="false">
      <c r="A5" s="18" t="s">
        <v>473</v>
      </c>
      <c r="B5" s="18" t="s">
        <v>444</v>
      </c>
      <c r="C5" s="18" t="s">
        <v>474</v>
      </c>
      <c r="D5" s="18" t="s">
        <v>957</v>
      </c>
      <c r="E5" s="18" t="s">
        <v>958</v>
      </c>
      <c r="F5" s="18" t="s">
        <v>959</v>
      </c>
    </row>
    <row r="6" customFormat="false" ht="69.75" hidden="false" customHeight="true" outlineLevel="0" collapsed="false">
      <c r="A6" s="18" t="s">
        <v>920</v>
      </c>
      <c r="B6" s="18" t="s">
        <v>462</v>
      </c>
      <c r="C6" s="18" t="s">
        <v>171</v>
      </c>
      <c r="D6" s="18" t="s">
        <v>957</v>
      </c>
      <c r="E6" s="18" t="s">
        <v>960</v>
      </c>
      <c r="F6" s="18" t="s">
        <v>959</v>
      </c>
    </row>
    <row r="7" customFormat="false" ht="90" hidden="false" customHeight="true" outlineLevel="0" collapsed="false">
      <c r="A7" s="18" t="s">
        <v>961</v>
      </c>
      <c r="B7" s="18" t="s">
        <v>449</v>
      </c>
      <c r="C7" s="18" t="s">
        <v>962</v>
      </c>
      <c r="D7" s="18" t="s">
        <v>963</v>
      </c>
      <c r="E7" s="18" t="s">
        <v>964</v>
      </c>
      <c r="F7" s="18" t="s">
        <v>965</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7D92"/>
    <pageSetUpPr fitToPage="false"/>
  </sheetPr>
  <dimension ref="A1:B1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2"/>
    <col collapsed="false" customWidth="true" hidden="false" outlineLevel="0" max="2" min="2" style="1" width="124"/>
  </cols>
  <sheetData>
    <row r="1" customFormat="false" ht="36" hidden="false" customHeight="true" outlineLevel="0" collapsed="false">
      <c r="A1" s="22" t="s">
        <v>966</v>
      </c>
      <c r="B1" s="22"/>
    </row>
    <row r="2" customFormat="false" ht="25.5" hidden="false" customHeight="true" outlineLevel="0" collapsed="false">
      <c r="A2" s="23" t="s">
        <v>967</v>
      </c>
      <c r="B2" s="23"/>
    </row>
    <row r="3" customFormat="false" ht="15" hidden="false" customHeight="true" outlineLevel="0" collapsed="false">
      <c r="A3" s="18"/>
      <c r="B3" s="18"/>
    </row>
    <row r="4" customFormat="false" ht="27.75" hidden="false" customHeight="true" outlineLevel="0" collapsed="false">
      <c r="A4" s="24" t="s">
        <v>968</v>
      </c>
      <c r="B4" s="24" t="s">
        <v>969</v>
      </c>
    </row>
    <row r="5" customFormat="false" ht="84" hidden="false" customHeight="true" outlineLevel="0" collapsed="false">
      <c r="A5" s="25" t="s">
        <v>14</v>
      </c>
      <c r="B5" s="18" t="s">
        <v>970</v>
      </c>
    </row>
    <row r="6" customFormat="false" ht="66" hidden="false" customHeight="true" outlineLevel="0" collapsed="false">
      <c r="A6" s="25" t="s">
        <v>971</v>
      </c>
      <c r="B6" s="18" t="s">
        <v>972</v>
      </c>
    </row>
    <row r="7" customFormat="false" ht="84" hidden="false" customHeight="true" outlineLevel="0" collapsed="false">
      <c r="A7" s="25" t="s">
        <v>973</v>
      </c>
      <c r="B7" s="18" t="s">
        <v>974</v>
      </c>
    </row>
    <row r="8" customFormat="false" ht="84" hidden="false" customHeight="true" outlineLevel="0" collapsed="false">
      <c r="A8" s="25" t="s">
        <v>975</v>
      </c>
      <c r="B8" s="18" t="s">
        <v>976</v>
      </c>
    </row>
    <row r="9" customFormat="false" ht="66" hidden="false" customHeight="true" outlineLevel="0" collapsed="false">
      <c r="A9" s="25" t="s">
        <v>977</v>
      </c>
      <c r="B9" s="18" t="s">
        <v>978</v>
      </c>
    </row>
    <row r="10" customFormat="false" ht="66" hidden="false" customHeight="true" outlineLevel="0" collapsed="false">
      <c r="A10" s="25" t="s">
        <v>979</v>
      </c>
      <c r="B10" s="18" t="s">
        <v>980</v>
      </c>
    </row>
    <row r="11" customFormat="false" ht="84" hidden="false" customHeight="true" outlineLevel="0" collapsed="false">
      <c r="A11" s="25" t="s">
        <v>981</v>
      </c>
      <c r="B11" s="18" t="s">
        <v>982</v>
      </c>
    </row>
    <row r="12" customFormat="false" ht="66" hidden="false" customHeight="true" outlineLevel="0" collapsed="false">
      <c r="A12" s="25" t="s">
        <v>983</v>
      </c>
      <c r="B12" s="18" t="s">
        <v>984</v>
      </c>
    </row>
    <row r="13" customFormat="false" ht="66" hidden="false" customHeight="true" outlineLevel="0" collapsed="false">
      <c r="A13" s="25" t="s">
        <v>985</v>
      </c>
      <c r="B13" s="18" t="s">
        <v>986</v>
      </c>
    </row>
    <row r="14" customFormat="false" ht="66" hidden="false" customHeight="true" outlineLevel="0" collapsed="false">
      <c r="A14" s="25" t="s">
        <v>987</v>
      </c>
      <c r="B14" s="18" t="s">
        <v>988</v>
      </c>
    </row>
    <row r="15" customFormat="false" ht="66" hidden="false" customHeight="true" outlineLevel="0" collapsed="false">
      <c r="A15" s="25" t="s">
        <v>989</v>
      </c>
      <c r="B15" s="18" t="s">
        <v>990</v>
      </c>
    </row>
    <row r="16" customFormat="false" ht="66" hidden="false" customHeight="true" outlineLevel="0" collapsed="false">
      <c r="A16" s="25" t="s">
        <v>991</v>
      </c>
      <c r="B16" s="18" t="s">
        <v>992</v>
      </c>
    </row>
    <row r="17" customFormat="false" ht="66" hidden="false" customHeight="true" outlineLevel="0" collapsed="false">
      <c r="A17" s="25" t="s">
        <v>993</v>
      </c>
      <c r="B17" s="18" t="s">
        <v>994</v>
      </c>
    </row>
    <row r="18" customFormat="false" ht="66" hidden="false" customHeight="true" outlineLevel="0" collapsed="false">
      <c r="A18" s="25" t="s">
        <v>995</v>
      </c>
      <c r="B18" s="18" t="s">
        <v>996</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LibreOffice/26.8.0.3$Linux_X86_64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2026-10-08T16:01:08Z</dcterms:created>
  <dc:creator>Notion AI</dc:creator>
  <dc:description/>
  <dc:language>en-US</dc:language>
  <cp:lastModifiedBy/>
  <dcterms:modified xsi:type="dcterms:W3CDTF">2026-10-08T16:01:11Z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